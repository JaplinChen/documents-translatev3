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425"/>
  </bookViews>
  <sheets>
    <sheet name="ProjectSchedule" sheetId="12" r:id="rId1"/>
  </sheets>
  <definedNames>
    <definedName name="_xlnm._FilterDatabase" localSheetId="0" hidden="1">ProjectSchedule!$A$7:$H$7</definedName>
    <definedName name="Display_Week" localSheetId="0">ProjectSchedule!$F$5</definedName>
    <definedName name="Display_Week">#REF!</definedName>
    <definedName name="_xlnm.Print_Titles" localSheetId="0">ProjectSchedule!$5:$7</definedName>
    <definedName name="Project_Start" localSheetId="0">ProjectSchedule!$F$4</definedName>
    <definedName name="Project_Start">#REF!</definedName>
    <definedName name="task_end" localSheetId="0">ProjectSchedule!$G1</definedName>
    <definedName name="task_progress" localSheetId="0">ProjectSchedule!$D1</definedName>
    <definedName name="task_start" localSheetId="0">ProjectSchedule!$F1</definedName>
    <definedName name="today" localSheetId="0">TODAY()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2" l="1"/>
  <c r="J9" i="12"/>
  <c r="J11" i="12" l="1"/>
  <c r="K6" i="12"/>
  <c r="K5" i="12" s="1"/>
  <c r="J51" i="12"/>
  <c r="J50" i="12"/>
  <c r="J49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3" i="12"/>
  <c r="J12" i="12"/>
  <c r="J10" i="12"/>
  <c r="J8" i="12"/>
  <c r="K7" i="12" l="1"/>
  <c r="L6" i="12"/>
  <c r="L7" i="12" s="1"/>
  <c r="M6" i="12" l="1"/>
  <c r="M7" i="12" s="1"/>
  <c r="N6" i="12" l="1"/>
  <c r="N7" i="12" s="1"/>
  <c r="O6" i="12" l="1"/>
  <c r="O7" i="12" s="1"/>
  <c r="P6" i="12" l="1"/>
  <c r="P7" i="12" s="1"/>
  <c r="Q6" i="12" l="1"/>
  <c r="Q7" i="12" s="1"/>
  <c r="R6" i="12" l="1"/>
  <c r="R5" i="12" l="1"/>
  <c r="R7" i="12"/>
  <c r="S6" i="12"/>
  <c r="S7" i="12" l="1"/>
  <c r="T6" i="12"/>
  <c r="T7" i="12" l="1"/>
  <c r="U6" i="12"/>
  <c r="U7" i="12" l="1"/>
  <c r="V6" i="12"/>
  <c r="W6" i="12" l="1"/>
  <c r="V7" i="12"/>
  <c r="X6" i="12" l="1"/>
  <c r="W7" i="12"/>
  <c r="Y6" i="12" l="1"/>
  <c r="X7" i="12"/>
  <c r="Y5" i="12" l="1"/>
  <c r="Z6" i="12"/>
  <c r="Y7" i="12"/>
  <c r="AA6" i="12" l="1"/>
  <c r="Z7" i="12"/>
  <c r="AB6" i="12" l="1"/>
  <c r="AA7" i="12"/>
  <c r="AC6" i="12" l="1"/>
  <c r="AB7" i="12"/>
  <c r="AC7" i="12" l="1"/>
  <c r="AD6" i="12"/>
  <c r="AD7" i="12" l="1"/>
  <c r="AE6" i="12"/>
  <c r="AE7" i="12" l="1"/>
  <c r="AF6" i="12"/>
  <c r="AF7" i="12" l="1"/>
  <c r="AF5" i="12"/>
  <c r="AG6" i="12"/>
  <c r="AG7" i="12" l="1"/>
  <c r="AH6" i="12"/>
  <c r="AI6" i="12" l="1"/>
  <c r="AH7" i="12"/>
  <c r="AJ6" i="12" l="1"/>
  <c r="AI7" i="12"/>
  <c r="AK6" i="12" l="1"/>
  <c r="AJ7" i="12"/>
  <c r="AL6" i="12" l="1"/>
  <c r="AK7" i="12"/>
  <c r="AL7" i="12" l="1"/>
  <c r="AM6" i="12"/>
  <c r="AN6" i="12" l="1"/>
  <c r="AM7" i="12"/>
  <c r="AM5" i="12"/>
  <c r="AO6" i="12" l="1"/>
  <c r="AN7" i="12"/>
  <c r="AO7" i="12" l="1"/>
  <c r="AP6" i="12"/>
  <c r="AP7" i="12" l="1"/>
  <c r="AQ6" i="12"/>
  <c r="AQ7" i="12" l="1"/>
  <c r="AR6" i="12"/>
  <c r="AR7" i="12" l="1"/>
  <c r="AS6" i="12"/>
  <c r="AS7" i="12" l="1"/>
  <c r="AT6" i="12"/>
  <c r="AU6" i="12" l="1"/>
  <c r="AT5" i="12"/>
  <c r="AT7" i="12"/>
  <c r="AV6" i="12" l="1"/>
  <c r="AU7" i="12"/>
  <c r="AW6" i="12" l="1"/>
  <c r="AV7" i="12"/>
  <c r="AW7" i="12" l="1"/>
  <c r="AX6" i="12"/>
  <c r="AY6" i="12" l="1"/>
  <c r="AX7" i="12"/>
  <c r="AZ6" i="12" l="1"/>
  <c r="AY7" i="12"/>
  <c r="BA6" i="12" l="1"/>
  <c r="AZ7" i="12"/>
  <c r="BA7" i="12" l="1"/>
  <c r="BB6" i="12"/>
  <c r="BA5" i="12"/>
  <c r="BB7" i="12" l="1"/>
  <c r="BC6" i="12"/>
  <c r="BC7" i="12" l="1"/>
  <c r="BD6" i="12"/>
  <c r="BD7" i="12" l="1"/>
  <c r="BE6" i="12"/>
  <c r="BE7" i="12" l="1"/>
  <c r="BF6" i="12"/>
  <c r="BG6" i="12" l="1"/>
  <c r="BF7" i="12"/>
  <c r="BH6" i="12" l="1"/>
  <c r="BG7" i="12"/>
  <c r="BH5" i="12" l="1"/>
  <c r="BI6" i="12"/>
  <c r="BH7" i="12"/>
  <c r="BJ6" i="12" l="1"/>
  <c r="BI7" i="12"/>
  <c r="BJ7" i="12" l="1"/>
  <c r="BK6" i="12"/>
  <c r="BL6" i="12" l="1"/>
  <c r="BK7" i="12"/>
  <c r="BM6" i="12" l="1"/>
  <c r="BL7" i="12"/>
  <c r="BM7" i="12" l="1"/>
  <c r="BN6" i="12"/>
  <c r="BN7" i="12" s="1"/>
</calcChain>
</file>

<file path=xl/sharedStrings.xml><?xml version="1.0" encoding="utf-8"?>
<sst xmlns="http://schemas.openxmlformats.org/spreadsheetml/2006/main" count="29" uniqueCount="28">
  <si>
    <t>Project Start:</t>
  </si>
  <si>
    <t>DAYS</t>
  </si>
  <si>
    <t>STT</t>
  </si>
  <si>
    <t>Tiến độ
進度</t>
  </si>
  <si>
    <t>Thời gian
bắt đầu
開始日期</t>
  </si>
  <si>
    <t>Thời gian
dự kiến
hoàn thành
預期完成時間</t>
  </si>
  <si>
    <r>
      <t xml:space="preserve">Thời gian hoàn thành thực tế
</t>
    </r>
    <r>
      <rPr>
        <b/>
        <sz val="9"/>
        <color rgb="FF0000FF"/>
        <rFont val="Times New Roman"/>
        <family val="1"/>
      </rPr>
      <t>實際完成時間</t>
    </r>
  </si>
  <si>
    <t>Phụ trách</t>
  </si>
  <si>
    <t>Khảo sát quy trình</t>
  </si>
  <si>
    <t>Khảo sát chi tiết nội dung các bước thực hiện</t>
  </si>
  <si>
    <t>#24320, #16138</t>
  </si>
  <si>
    <t>#25575</t>
  </si>
  <si>
    <t>Bộ phận</t>
  </si>
  <si>
    <t>Thực hiện
執行</t>
  </si>
  <si>
    <t xml:space="preserve"> </t>
  </si>
  <si>
    <t>Khai phá web quản lý dữ liệu phát thải khí nhà kính</t>
  </si>
  <si>
    <t>Xây dựng tài liệu mô tả quy trình</t>
  </si>
  <si>
    <t>#24320</t>
  </si>
  <si>
    <r>
      <t xml:space="preserve">Thử nghiệm tính năng web quản lý khí thải của VDS </t>
    </r>
    <r>
      <rPr>
        <b/>
        <sz val="11"/>
        <color rgb="FF0000FF"/>
        <rFont val="Times New Roman"/>
        <family val="1"/>
      </rPr>
      <t>https://ghg.vds.io.vn/</t>
    </r>
  </si>
  <si>
    <t>Thử nghiệm tính năng web quản lý dữ liệu phát thải khí nhà kính của VPIC1</t>
  </si>
  <si>
    <t>Phát triển web quản lý dữ liệu phát thải khí nhà kính của VPIC1</t>
  </si>
  <si>
    <t>Xây dựng tài liệu hướng dẫn sử dụng web</t>
  </si>
  <si>
    <t>Golive</t>
  </si>
  <si>
    <t>Kiểm thử</t>
  </si>
  <si>
    <t>Triển khai chính thức</t>
  </si>
  <si>
    <t>ATMT</t>
  </si>
  <si>
    <t>KHẢO SÁT QUY TRÌNH TỔNG HỢP DỮ LIỆU KIỂM KÊ DỮ LIỆU PHÁT THẢI
KHÍ NHÀ KÍNH - ATMT</t>
  </si>
  <si>
    <t>MIS (#24320)
ATMT (#3502)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</si>
</sst>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m/d/yy;@"/>
    <numFmt numFmtId="165" formatCode="ddd\,\ m/d/yyyy"/>
    <numFmt numFmtId="166" formatCode="mmm\ d\,\ yyyy"/>
    <numFmt numFmtId="167" formatCode="d"/>
    <numFmt numFmtId="168" formatCode="[$-409]d\-mmm\-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11"/>
      <color theme="0"/>
      <name val="Calibri"/>
      <family val="2"/>
      <scheme val="minor"/>
    </font>
    <font>
      <b/>
      <sz val="14"/>
      <color theme="1" tint="0.34998626667073579"/>
      <name val="Times New Roman"/>
      <family val="1"/>
    </font>
    <font>
      <sz val="11"/>
      <color theme="1"/>
      <name val="Times New Roman"/>
      <family val="1"/>
    </font>
    <font>
      <sz val="9"/>
      <color rgb="FF0000FF"/>
      <name val="Times New Roman"/>
      <family val="1"/>
    </font>
    <font>
      <sz val="11"/>
      <color rgb="FFFF0000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9"/>
      <color rgb="FF0000FF"/>
      <name val="Times New Roman"/>
      <family val="1"/>
    </font>
    <font>
      <sz val="8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8"/>
      <color theme="1"/>
      <name val="Times New Roman"/>
      <family val="1"/>
    </font>
    <font>
      <b/>
      <sz val="11"/>
      <color rgb="FF0000FF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6"/>
      <color theme="1" tint="0.3499862666707357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0" tint="-0.14996795556505021"/>
      </bottom>
      <diagonal/>
    </border>
    <border>
      <left/>
      <right/>
      <top style="medium">
        <color theme="0" tint="-0.1498458815271462"/>
      </top>
      <bottom style="medium">
        <color theme="0" tint="-0.1498458815271462"/>
      </bottom>
      <diagonal/>
    </border>
  </borders>
  <cellStyleXfs count="21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10" fillId="0" borderId="0"/>
    <xf numFmtId="43" fontId="4" fillId="0" borderId="3" applyFont="0" applyFill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indent="1"/>
    </xf>
    <xf numFmtId="165" fontId="4" fillId="0" borderId="3">
      <alignment horizontal="center" vertical="center"/>
    </xf>
    <xf numFmtId="164" fontId="4" fillId="0" borderId="2" applyFill="0">
      <alignment horizontal="center" vertical="center"/>
    </xf>
    <xf numFmtId="0" fontId="4" fillId="0" borderId="2" applyFill="0">
      <alignment horizontal="center" vertical="center"/>
    </xf>
    <xf numFmtId="0" fontId="4" fillId="0" borderId="2" applyFill="0">
      <alignment horizontal="left" vertical="center" indent="2"/>
    </xf>
    <xf numFmtId="0" fontId="7" fillId="0" borderId="0" applyNumberFormat="0" applyFill="0" applyBorder="0" applyAlignment="0" applyProtection="0"/>
    <xf numFmtId="0" fontId="4" fillId="0" borderId="0">
      <alignment vertical="center"/>
    </xf>
    <xf numFmtId="0" fontId="1" fillId="0" borderId="0"/>
    <xf numFmtId="164" fontId="4" fillId="0" borderId="15" applyFill="0">
      <alignment horizontal="center" vertical="center"/>
    </xf>
    <xf numFmtId="0" fontId="4" fillId="0" borderId="15" applyFill="0">
      <alignment horizontal="center" vertical="center"/>
    </xf>
    <xf numFmtId="0" fontId="4" fillId="0" borderId="0" applyNumberFormat="0" applyFill="0" applyProtection="0">
      <alignment horizontal="right" indent="1"/>
    </xf>
    <xf numFmtId="0" fontId="5" fillId="0" borderId="0" applyNumberFormat="0" applyFill="0" applyProtection="0">
      <alignment vertical="top"/>
    </xf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167" fontId="6" fillId="2" borderId="0" xfId="0" applyNumberFormat="1" applyFont="1" applyFill="1" applyAlignment="1">
      <alignment horizontal="center" vertical="center"/>
    </xf>
    <xf numFmtId="167" fontId="6" fillId="2" borderId="6" xfId="0" applyNumberFormat="1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9" fontId="3" fillId="3" borderId="2" xfId="2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right" vertical="center"/>
    </xf>
    <xf numFmtId="0" fontId="10" fillId="0" borderId="0" xfId="0" applyFont="1" applyAlignment="1">
      <alignment horizontal="center"/>
    </xf>
    <xf numFmtId="164" fontId="4" fillId="3" borderId="2" xfId="10" applyFill="1">
      <alignment horizontal="center" vertical="center"/>
    </xf>
    <xf numFmtId="0" fontId="4" fillId="3" borderId="2" xfId="12" applyFill="1">
      <alignment horizontal="left" vertical="center" indent="2"/>
    </xf>
    <xf numFmtId="0" fontId="4" fillId="0" borderId="0" xfId="8" applyBorder="1" applyAlignment="1"/>
    <xf numFmtId="0" fontId="10" fillId="0" borderId="0" xfId="0" applyFont="1" applyBorder="1" applyAlignment="1">
      <alignment horizontal="center" vertical="center"/>
    </xf>
    <xf numFmtId="0" fontId="4" fillId="0" borderId="0" xfId="3" applyFont="1"/>
    <xf numFmtId="0" fontId="4" fillId="0" borderId="0" xfId="3" applyFont="1" applyAlignment="1">
      <alignment wrapText="1"/>
    </xf>
    <xf numFmtId="168" fontId="18" fillId="0" borderId="10" xfId="10" applyNumberFormat="1" applyFont="1" applyFill="1" applyBorder="1">
      <alignment horizontal="center" vertical="center"/>
    </xf>
    <xf numFmtId="9" fontId="17" fillId="5" borderId="11" xfId="2" applyFont="1" applyFill="1" applyBorder="1" applyAlignment="1">
      <alignment horizontal="center" vertical="center"/>
    </xf>
    <xf numFmtId="168" fontId="18" fillId="0" borderId="11" xfId="10" applyNumberFormat="1" applyFont="1" applyFill="1" applyBorder="1">
      <alignment horizontal="center" vertical="center"/>
    </xf>
    <xf numFmtId="0" fontId="17" fillId="5" borderId="10" xfId="3" applyFont="1" applyFill="1" applyBorder="1" applyAlignment="1">
      <alignment horizontal="center" vertical="center" wrapText="1"/>
    </xf>
    <xf numFmtId="9" fontId="17" fillId="0" borderId="10" xfId="2" applyFont="1" applyFill="1" applyBorder="1" applyAlignment="1">
      <alignment horizontal="center" vertical="center"/>
    </xf>
    <xf numFmtId="0" fontId="4" fillId="3" borderId="14" xfId="12" applyFill="1" applyBorder="1">
      <alignment horizontal="left" vertical="center" indent="2"/>
    </xf>
    <xf numFmtId="9" fontId="3" fillId="3" borderId="14" xfId="2" applyFont="1" applyFill="1" applyBorder="1" applyAlignment="1">
      <alignment horizontal="center" vertical="center"/>
    </xf>
    <xf numFmtId="164" fontId="4" fillId="3" borderId="14" xfId="10" applyFill="1" applyBorder="1">
      <alignment horizontal="center" vertical="center"/>
    </xf>
    <xf numFmtId="0" fontId="14" fillId="0" borderId="0" xfId="0" applyFont="1" applyBorder="1"/>
    <xf numFmtId="0" fontId="16" fillId="4" borderId="10" xfId="0" applyFont="1" applyFill="1" applyBorder="1" applyAlignment="1">
      <alignment horizontal="left" vertical="center" indent="1"/>
    </xf>
    <xf numFmtId="0" fontId="16" fillId="4" borderId="10" xfId="0" applyFont="1" applyFill="1" applyBorder="1" applyAlignment="1">
      <alignment horizontal="center" vertical="center" wrapText="1"/>
    </xf>
    <xf numFmtId="0" fontId="12" fillId="6" borderId="10" xfId="3" applyFont="1" applyFill="1" applyBorder="1" applyAlignment="1">
      <alignment wrapText="1"/>
    </xf>
    <xf numFmtId="0" fontId="16" fillId="6" borderId="10" xfId="14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 shrinkToFit="1"/>
    </xf>
    <xf numFmtId="0" fontId="4" fillId="0" borderId="0" xfId="8" applyAlignment="1">
      <alignment horizontal="left"/>
    </xf>
    <xf numFmtId="0" fontId="0" fillId="0" borderId="0" xfId="0" applyAlignment="1">
      <alignment horizontal="left" wrapText="1"/>
    </xf>
    <xf numFmtId="0" fontId="12" fillId="5" borderId="10" xfId="11" applyFont="1" applyFill="1" applyBorder="1" applyAlignment="1">
      <alignment horizontal="left" vertical="center" wrapText="1"/>
    </xf>
    <xf numFmtId="0" fontId="12" fillId="0" borderId="10" xfId="11" applyFont="1" applyFill="1" applyBorder="1" applyAlignment="1">
      <alignment horizontal="left" vertical="center" wrapText="1"/>
    </xf>
    <xf numFmtId="0" fontId="4" fillId="3" borderId="14" xfId="11" applyFill="1" applyBorder="1" applyAlignment="1">
      <alignment horizontal="left" vertical="center"/>
    </xf>
    <xf numFmtId="0" fontId="4" fillId="3" borderId="2" xfId="11" applyFill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 applyProtection="1">
      <alignment horizontal="left"/>
    </xf>
    <xf numFmtId="168" fontId="17" fillId="0" borderId="10" xfId="14" applyNumberFormat="1" applyFont="1" applyFill="1" applyBorder="1" applyAlignment="1">
      <alignment horizontal="center" vertical="center"/>
    </xf>
    <xf numFmtId="9" fontId="17" fillId="5" borderId="10" xfId="2" applyFont="1" applyFill="1" applyBorder="1" applyAlignment="1">
      <alignment horizontal="center" vertical="center"/>
    </xf>
    <xf numFmtId="168" fontId="18" fillId="0" borderId="10" xfId="14" applyNumberFormat="1" applyFont="1" applyFill="1" applyBorder="1" applyAlignment="1">
      <alignment horizontal="center" vertical="center"/>
    </xf>
    <xf numFmtId="0" fontId="12" fillId="0" borderId="10" xfId="11" applyFont="1" applyFill="1" applyBorder="1" applyAlignment="1">
      <alignment horizontal="center" vertical="center" wrapText="1"/>
    </xf>
    <xf numFmtId="0" fontId="17" fillId="5" borderId="13" xfId="3" applyFont="1" applyFill="1" applyBorder="1" applyAlignment="1">
      <alignment horizontal="center" vertical="center" wrapText="1"/>
    </xf>
    <xf numFmtId="165" fontId="4" fillId="0" borderId="0" xfId="9" applyBorder="1" applyAlignment="1">
      <alignment horizontal="left"/>
    </xf>
    <xf numFmtId="0" fontId="11" fillId="0" borderId="0" xfId="13" applyFont="1" applyAlignment="1">
      <alignment horizontal="center" vertical="center" wrapText="1"/>
    </xf>
    <xf numFmtId="9" fontId="4" fillId="0" borderId="0" xfId="14" applyNumberFormat="1" applyFill="1" applyBorder="1" applyAlignment="1">
      <alignment horizontal="center" vertical="center"/>
    </xf>
    <xf numFmtId="0" fontId="0" fillId="0" borderId="0" xfId="0" applyFill="1" applyBorder="1"/>
    <xf numFmtId="0" fontId="9" fillId="0" borderId="0" xfId="1" applyFont="1" applyFill="1" applyBorder="1" applyProtection="1">
      <alignment vertical="top"/>
    </xf>
    <xf numFmtId="0" fontId="12" fillId="5" borderId="10" xfId="11" applyFont="1" applyFill="1" applyBorder="1" applyAlignment="1">
      <alignment horizontal="center" vertical="center" wrapText="1"/>
    </xf>
    <xf numFmtId="0" fontId="16" fillId="0" borderId="0" xfId="14" applyFont="1" applyFill="1" applyBorder="1" applyAlignment="1">
      <alignment horizontal="center" vertical="center" wrapText="1"/>
    </xf>
    <xf numFmtId="0" fontId="4" fillId="0" borderId="0" xfId="8" applyAlignment="1"/>
    <xf numFmtId="168" fontId="4" fillId="0" borderId="0" xfId="8" applyNumberFormat="1" applyBorder="1" applyAlignment="1"/>
    <xf numFmtId="0" fontId="0" fillId="0" borderId="0" xfId="8" applyFont="1" applyAlignment="1">
      <alignment horizontal="right"/>
    </xf>
    <xf numFmtId="0" fontId="17" fillId="5" borderId="10" xfId="3" applyFont="1" applyFill="1" applyBorder="1" applyAlignment="1">
      <alignment vertical="center" wrapText="1"/>
    </xf>
    <xf numFmtId="0" fontId="12" fillId="0" borderId="10" xfId="11" applyFont="1" applyFill="1" applyBorder="1" applyAlignment="1">
      <alignment vertical="center" wrapText="1"/>
    </xf>
    <xf numFmtId="0" fontId="19" fillId="0" borderId="10" xfId="11" applyFont="1" applyFill="1" applyBorder="1" applyAlignment="1">
      <alignment horizontal="center" vertical="center" wrapText="1"/>
    </xf>
    <xf numFmtId="0" fontId="25" fillId="0" borderId="10" xfId="11" applyFont="1" applyFill="1" applyBorder="1" applyAlignment="1">
      <alignment horizontal="center" vertical="center" wrapText="1"/>
    </xf>
    <xf numFmtId="0" fontId="26" fillId="5" borderId="10" xfId="3" applyFont="1" applyFill="1" applyBorder="1" applyAlignment="1">
      <alignment horizontal="center" vertical="center" wrapText="1"/>
    </xf>
    <xf numFmtId="0" fontId="17" fillId="5" borderId="10" xfId="3" applyFont="1" applyFill="1" applyBorder="1" applyAlignment="1">
      <alignment horizontal="center" vertical="center" wrapText="1"/>
    </xf>
    <xf numFmtId="9" fontId="17" fillId="5" borderId="10" xfId="2" applyFont="1" applyFill="1" applyBorder="1" applyAlignment="1">
      <alignment horizontal="center" vertical="center" wrapText="1"/>
    </xf>
    <xf numFmtId="0" fontId="12" fillId="0" borderId="0" xfId="17" applyFont="1" applyFill="1" applyBorder="1" applyAlignment="1">
      <alignment horizontal="center" vertical="center" wrapText="1"/>
    </xf>
    <xf numFmtId="0" fontId="23" fillId="0" borderId="0" xfId="11" applyFont="1" applyFill="1" applyBorder="1" applyAlignment="1">
      <alignment horizontal="center" vertical="center" wrapText="1"/>
    </xf>
    <xf numFmtId="0" fontId="13" fillId="0" borderId="0" xfId="7" applyFont="1" applyAlignment="1">
      <alignment horizontal="left" vertical="top" wrapText="1"/>
    </xf>
    <xf numFmtId="0" fontId="12" fillId="0" borderId="10" xfId="11" applyFont="1" applyFill="1" applyBorder="1" applyAlignment="1">
      <alignment horizontal="center" vertical="center" wrapText="1"/>
    </xf>
    <xf numFmtId="0" fontId="17" fillId="5" borderId="10" xfId="3" applyFont="1" applyFill="1" applyBorder="1" applyAlignment="1">
      <alignment horizontal="center" vertical="center" wrapText="1"/>
    </xf>
    <xf numFmtId="0" fontId="27" fillId="0" borderId="0" xfId="13" applyFont="1" applyAlignment="1">
      <alignment horizontal="center" vertical="center" wrapText="1"/>
    </xf>
    <xf numFmtId="165" fontId="4" fillId="0" borderId="0" xfId="9" applyBorder="1" applyAlignment="1">
      <alignment horizontal="left"/>
    </xf>
    <xf numFmtId="0" fontId="17" fillId="5" borderId="11" xfId="3" applyFont="1" applyFill="1" applyBorder="1" applyAlignment="1">
      <alignment horizontal="center" vertical="center" wrapText="1"/>
    </xf>
    <xf numFmtId="0" fontId="17" fillId="5" borderId="12" xfId="3" applyFont="1" applyFill="1" applyBorder="1" applyAlignment="1">
      <alignment horizontal="center" vertical="center" wrapText="1"/>
    </xf>
    <xf numFmtId="0" fontId="17" fillId="5" borderId="13" xfId="3" applyFont="1" applyFill="1" applyBorder="1" applyAlignment="1">
      <alignment horizontal="center" vertical="center" wrapText="1"/>
    </xf>
    <xf numFmtId="166" fontId="0" fillId="2" borderId="4" xfId="0" applyNumberFormat="1" applyFill="1" applyBorder="1" applyAlignment="1">
      <alignment horizontal="left" vertical="center" wrapText="1" indent="1"/>
    </xf>
    <xf numFmtId="166" fontId="0" fillId="2" borderId="1" xfId="0" applyNumberFormat="1" applyFill="1" applyBorder="1" applyAlignment="1">
      <alignment horizontal="left" vertical="center" wrapText="1" indent="1"/>
    </xf>
    <xf numFmtId="166" fontId="0" fillId="2" borderId="5" xfId="0" applyNumberFormat="1" applyFill="1" applyBorder="1" applyAlignment="1">
      <alignment horizontal="left" vertical="center" wrapText="1" indent="1"/>
    </xf>
    <xf numFmtId="0" fontId="22" fillId="0" borderId="0" xfId="0" applyFont="1" applyBorder="1" applyAlignment="1">
      <alignment horizontal="left" wrapText="1"/>
    </xf>
    <xf numFmtId="166" fontId="0" fillId="2" borderId="6" xfId="0" applyNumberFormat="1" applyFill="1" applyBorder="1" applyAlignment="1">
      <alignment horizontal="left" vertical="center" wrapText="1" indent="1"/>
    </xf>
    <xf numFmtId="166" fontId="0" fillId="2" borderId="0" xfId="0" applyNumberFormat="1" applyFill="1" applyBorder="1" applyAlignment="1">
      <alignment horizontal="left" vertical="center" wrapText="1" indent="1"/>
    </xf>
    <xf numFmtId="166" fontId="0" fillId="2" borderId="7" xfId="0" applyNumberFormat="1" applyFill="1" applyBorder="1" applyAlignment="1">
      <alignment horizontal="left" vertical="center" wrapText="1" indent="1"/>
    </xf>
  </cellXfs>
  <cellStyles count="21">
    <cellStyle name="Comma" xfId="4" builtinId="3" customBuiltin="1"/>
    <cellStyle name="Date" xfId="10"/>
    <cellStyle name="Date 2" xfId="16"/>
    <cellStyle name="Heading 1" xfId="6" builtinId="16" customBuiltin="1"/>
    <cellStyle name="Heading 2" xfId="7" builtinId="17" customBuiltin="1"/>
    <cellStyle name="Heading 2 2" xfId="19"/>
    <cellStyle name="Heading 3" xfId="8" builtinId="18" customBuiltin="1"/>
    <cellStyle name="Heading 3 2" xfId="18"/>
    <cellStyle name="Hyperlink" xfId="1" builtinId="8" customBuiltin="1"/>
    <cellStyle name="Hyperlink 2" xfId="20"/>
    <cellStyle name="Name" xfId="11"/>
    <cellStyle name="Name 2" xfId="17"/>
    <cellStyle name="Normal" xfId="0" builtinId="0"/>
    <cellStyle name="Normal 2" xfId="14"/>
    <cellStyle name="Normal 3" xfId="15"/>
    <cellStyle name="Percent" xfId="2" builtinId="5"/>
    <cellStyle name="Project Start" xfId="9"/>
    <cellStyle name="Task" xfId="12"/>
    <cellStyle name="Title" xfId="5" builtinId="15" customBuiltin="1"/>
    <cellStyle name="Title 2" xfId="13"/>
    <cellStyle name="zHiddenText" xfId="3"/>
  </cellStyles>
  <dxfs count="57"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theme="8" tint="0.59996337778862885"/>
        </patternFill>
      </fill>
      <border>
        <left/>
        <right/>
      </border>
    </dxf>
    <dxf>
      <fill>
        <patternFill>
          <bgColor rgb="FF0070C0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secondRowStripe" dxfId="50"/>
      <tableStyleElement type="firstColumnStripe" dxfId="49"/>
      <tableStyleElement type="secondColumnStripe" dxfId="4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FF"/>
      <color rgb="FF215881"/>
      <color rgb="FF42648A"/>
      <color rgb="FF969696"/>
      <color rgb="FFC0C0C0"/>
      <color rgb="FF427FC2"/>
      <color rgb="FF44678E"/>
      <color rgb="FF4A6F9C"/>
      <color rgb="FF3969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78"/>
  <sheetViews>
    <sheetView showGridLines="0" tabSelected="1" showRuler="0" zoomScale="90" zoomScaleNormal="90" zoomScalePageLayoutView="70" workbookViewId="0">
      <pane ySplit="7" topLeftCell="A8" activePane="bottomLeft" state="frozen"/>
      <selection pane="bottomLeft" activeCell="S76" sqref="S76"/>
    </sheetView>
  </sheetViews>
  <sheetFormatPr defaultRowHeight="30" customHeight="1" x14ac:dyDescent="0.25"/>
  <cols>
    <col min="1" max="1" width="6.5703125" style="16" customWidth="1"/>
    <col min="2" max="2" width="23.5703125" customWidth="1"/>
    <col min="3" max="3" width="30.7109375" style="39" customWidth="1"/>
    <col min="4" max="4" width="13" customWidth="1"/>
    <col min="5" max="5" width="12.85546875" bestFit="1" customWidth="1"/>
    <col min="6" max="6" width="10.42578125" style="2" customWidth="1"/>
    <col min="7" max="8" width="10.42578125" customWidth="1"/>
    <col min="9" max="9" width="2.7109375" customWidth="1"/>
    <col min="10" max="10" width="6.140625" hidden="1" customWidth="1"/>
    <col min="11" max="13" width="2.5703125" customWidth="1"/>
    <col min="14" max="14" width="2.7109375" bestFit="1" customWidth="1"/>
    <col min="15" max="21" width="2.5703125" customWidth="1"/>
    <col min="22" max="22" width="1.85546875" bestFit="1" customWidth="1"/>
    <col min="23" max="38" width="2.5703125" customWidth="1"/>
    <col min="39" max="66" width="2.5703125" hidden="1" customWidth="1"/>
  </cols>
  <sheetData>
    <row r="1" spans="1:66" ht="30" customHeight="1" x14ac:dyDescent="0.25">
      <c r="A1" s="69" t="s">
        <v>26</v>
      </c>
      <c r="B1" s="69"/>
      <c r="C1" s="69"/>
      <c r="D1" s="69"/>
      <c r="E1" s="69"/>
      <c r="F1" s="69"/>
      <c r="G1" s="69"/>
      <c r="H1" s="69"/>
      <c r="I1" s="69"/>
      <c r="J1" s="69"/>
      <c r="K1" s="64"/>
      <c r="L1" s="64"/>
      <c r="M1" s="64"/>
      <c r="N1" s="49"/>
      <c r="O1" s="50"/>
      <c r="P1" s="50"/>
      <c r="Q1" s="65"/>
      <c r="R1" s="65"/>
      <c r="S1" s="65"/>
      <c r="T1" s="65"/>
      <c r="U1" s="65"/>
      <c r="V1" s="50"/>
      <c r="W1" s="50"/>
    </row>
    <row r="2" spans="1:66" ht="30" customHeigh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51"/>
      <c r="L2" s="50"/>
      <c r="M2" s="50"/>
      <c r="N2" s="50"/>
      <c r="O2" s="50"/>
      <c r="P2" s="50"/>
      <c r="Q2" s="65"/>
      <c r="R2" s="65"/>
      <c r="S2" s="65"/>
      <c r="T2" s="65"/>
      <c r="U2" s="65"/>
      <c r="V2" s="50"/>
      <c r="W2" s="50"/>
    </row>
    <row r="3" spans="1:66" ht="6.75" customHeight="1" x14ac:dyDescent="0.25">
      <c r="A3" s="48"/>
      <c r="B3" s="48"/>
      <c r="C3" s="48"/>
      <c r="D3" s="48"/>
      <c r="E3" s="48"/>
      <c r="F3" s="48"/>
      <c r="G3" s="48"/>
      <c r="H3" s="48"/>
      <c r="I3" s="53"/>
      <c r="J3" s="48"/>
      <c r="K3" s="51"/>
      <c r="L3" s="50"/>
      <c r="M3" s="50"/>
      <c r="N3" s="50"/>
      <c r="O3" s="50"/>
      <c r="P3" s="50"/>
      <c r="Q3" s="65"/>
      <c r="R3" s="65"/>
      <c r="S3" s="65"/>
      <c r="T3" s="65"/>
      <c r="U3" s="65"/>
      <c r="V3" s="50"/>
      <c r="W3" s="50"/>
    </row>
    <row r="4" spans="1:66" ht="18.75" customHeight="1" x14ac:dyDescent="0.25">
      <c r="A4" s="66"/>
      <c r="B4" s="66"/>
      <c r="C4" s="54"/>
      <c r="D4" s="54"/>
      <c r="E4" s="56" t="s">
        <v>0</v>
      </c>
      <c r="F4" s="55">
        <f>F9</f>
        <v>46048</v>
      </c>
      <c r="G4" s="70"/>
      <c r="H4" s="70"/>
      <c r="I4" s="47"/>
      <c r="K4" s="50"/>
      <c r="L4" s="50"/>
      <c r="M4" s="50"/>
      <c r="N4" s="50"/>
      <c r="O4" s="50"/>
      <c r="P4" s="50"/>
      <c r="Q4" s="65"/>
      <c r="R4" s="65"/>
      <c r="S4" s="65"/>
      <c r="T4" s="65"/>
      <c r="U4" s="65"/>
      <c r="V4" s="50"/>
      <c r="W4" s="50"/>
    </row>
    <row r="5" spans="1:66" ht="20.25" customHeight="1" x14ac:dyDescent="0.25">
      <c r="A5" s="17"/>
      <c r="C5" s="33"/>
      <c r="D5" s="14"/>
      <c r="E5" s="14"/>
      <c r="F5" s="15">
        <v>1</v>
      </c>
      <c r="K5" s="78">
        <f>K6</f>
        <v>46048</v>
      </c>
      <c r="L5" s="79"/>
      <c r="M5" s="79"/>
      <c r="N5" s="79"/>
      <c r="O5" s="79"/>
      <c r="P5" s="79"/>
      <c r="Q5" s="80"/>
      <c r="R5" s="78">
        <f>R6</f>
        <v>46055</v>
      </c>
      <c r="S5" s="79"/>
      <c r="T5" s="79"/>
      <c r="U5" s="79"/>
      <c r="V5" s="79"/>
      <c r="W5" s="79"/>
      <c r="X5" s="76"/>
      <c r="Y5" s="74">
        <f>Y6</f>
        <v>46062</v>
      </c>
      <c r="Z5" s="75"/>
      <c r="AA5" s="75"/>
      <c r="AB5" s="75"/>
      <c r="AC5" s="75"/>
      <c r="AD5" s="75"/>
      <c r="AE5" s="76"/>
      <c r="AF5" s="74">
        <f>AF6</f>
        <v>46069</v>
      </c>
      <c r="AG5" s="75"/>
      <c r="AH5" s="75"/>
      <c r="AI5" s="75"/>
      <c r="AJ5" s="75"/>
      <c r="AK5" s="75"/>
      <c r="AL5" s="76"/>
      <c r="AM5" s="74">
        <f>AM6</f>
        <v>46076</v>
      </c>
      <c r="AN5" s="75"/>
      <c r="AO5" s="75"/>
      <c r="AP5" s="75"/>
      <c r="AQ5" s="75"/>
      <c r="AR5" s="75"/>
      <c r="AS5" s="76"/>
      <c r="AT5" s="74">
        <f>AT6</f>
        <v>46083</v>
      </c>
      <c r="AU5" s="75"/>
      <c r="AV5" s="75"/>
      <c r="AW5" s="75"/>
      <c r="AX5" s="75"/>
      <c r="AY5" s="75"/>
      <c r="AZ5" s="76"/>
      <c r="BA5" s="74">
        <f>BA6</f>
        <v>46090</v>
      </c>
      <c r="BB5" s="75"/>
      <c r="BC5" s="75"/>
      <c r="BD5" s="75"/>
      <c r="BE5" s="75"/>
      <c r="BF5" s="75"/>
      <c r="BG5" s="76"/>
      <c r="BH5" s="74">
        <f>BH6</f>
        <v>46097</v>
      </c>
      <c r="BI5" s="75"/>
      <c r="BJ5" s="75"/>
      <c r="BK5" s="75"/>
      <c r="BL5" s="75"/>
      <c r="BM5" s="75"/>
      <c r="BN5" s="76"/>
    </row>
    <row r="6" spans="1:66" ht="17.25" customHeight="1" x14ac:dyDescent="0.25">
      <c r="A6" s="77"/>
      <c r="B6" s="77"/>
      <c r="C6" s="77"/>
      <c r="D6" s="26"/>
      <c r="E6" s="26"/>
      <c r="F6" s="26"/>
      <c r="G6" s="26"/>
      <c r="H6" s="26"/>
      <c r="K6" s="5">
        <f>Project_Start-WEEKDAY(Project_Start,1)+2+7*(Display_Week-1)</f>
        <v>46048</v>
      </c>
      <c r="L6" s="4">
        <f>K6+1</f>
        <v>46049</v>
      </c>
      <c r="M6" s="4">
        <f t="shared" ref="M6:AZ6" si="0">L6+1</f>
        <v>46050</v>
      </c>
      <c r="N6" s="4">
        <f t="shared" si="0"/>
        <v>46051</v>
      </c>
      <c r="O6" s="4">
        <f t="shared" si="0"/>
        <v>46052</v>
      </c>
      <c r="P6" s="4">
        <f t="shared" si="0"/>
        <v>46053</v>
      </c>
      <c r="Q6" s="6">
        <f t="shared" si="0"/>
        <v>46054</v>
      </c>
      <c r="R6" s="5">
        <f>Q6+1</f>
        <v>46055</v>
      </c>
      <c r="S6" s="4">
        <f>R6+1</f>
        <v>46056</v>
      </c>
      <c r="T6" s="4">
        <f t="shared" si="0"/>
        <v>46057</v>
      </c>
      <c r="U6" s="4">
        <f t="shared" si="0"/>
        <v>46058</v>
      </c>
      <c r="V6" s="4">
        <f t="shared" si="0"/>
        <v>46059</v>
      </c>
      <c r="W6" s="4">
        <f t="shared" si="0"/>
        <v>46060</v>
      </c>
      <c r="X6" s="6">
        <f t="shared" si="0"/>
        <v>46061</v>
      </c>
      <c r="Y6" s="5">
        <f>X6+1</f>
        <v>46062</v>
      </c>
      <c r="Z6" s="4">
        <f>Y6+1</f>
        <v>46063</v>
      </c>
      <c r="AA6" s="4">
        <f t="shared" si="0"/>
        <v>46064</v>
      </c>
      <c r="AB6" s="4">
        <f t="shared" si="0"/>
        <v>46065</v>
      </c>
      <c r="AC6" s="4">
        <f t="shared" si="0"/>
        <v>46066</v>
      </c>
      <c r="AD6" s="4">
        <f t="shared" si="0"/>
        <v>46067</v>
      </c>
      <c r="AE6" s="6">
        <f t="shared" si="0"/>
        <v>46068</v>
      </c>
      <c r="AF6" s="5">
        <f>AE6+1</f>
        <v>46069</v>
      </c>
      <c r="AG6" s="4">
        <f>AF6+1</f>
        <v>46070</v>
      </c>
      <c r="AH6" s="4">
        <f t="shared" si="0"/>
        <v>46071</v>
      </c>
      <c r="AI6" s="4">
        <f t="shared" si="0"/>
        <v>46072</v>
      </c>
      <c r="AJ6" s="4">
        <f t="shared" si="0"/>
        <v>46073</v>
      </c>
      <c r="AK6" s="4">
        <f t="shared" si="0"/>
        <v>46074</v>
      </c>
      <c r="AL6" s="6">
        <f t="shared" si="0"/>
        <v>46075</v>
      </c>
      <c r="AM6" s="5">
        <f>AL6+1</f>
        <v>46076</v>
      </c>
      <c r="AN6" s="4">
        <f>AM6+1</f>
        <v>46077</v>
      </c>
      <c r="AO6" s="4">
        <f t="shared" si="0"/>
        <v>46078</v>
      </c>
      <c r="AP6" s="4">
        <f t="shared" si="0"/>
        <v>46079</v>
      </c>
      <c r="AQ6" s="4">
        <f t="shared" si="0"/>
        <v>46080</v>
      </c>
      <c r="AR6" s="4">
        <f t="shared" si="0"/>
        <v>46081</v>
      </c>
      <c r="AS6" s="6">
        <f t="shared" si="0"/>
        <v>46082</v>
      </c>
      <c r="AT6" s="5">
        <f>AS6+1</f>
        <v>46083</v>
      </c>
      <c r="AU6" s="4">
        <f>AT6+1</f>
        <v>46084</v>
      </c>
      <c r="AV6" s="4">
        <f t="shared" si="0"/>
        <v>46085</v>
      </c>
      <c r="AW6" s="4">
        <f t="shared" si="0"/>
        <v>46086</v>
      </c>
      <c r="AX6" s="4">
        <f t="shared" si="0"/>
        <v>46087</v>
      </c>
      <c r="AY6" s="4">
        <f t="shared" si="0"/>
        <v>46088</v>
      </c>
      <c r="AZ6" s="6">
        <f t="shared" si="0"/>
        <v>46089</v>
      </c>
      <c r="BA6" s="5">
        <f>AZ6+1</f>
        <v>46090</v>
      </c>
      <c r="BB6" s="4">
        <f>BA6+1</f>
        <v>46091</v>
      </c>
      <c r="BC6" s="4">
        <f t="shared" ref="BC6:BG6" si="1">BB6+1</f>
        <v>46092</v>
      </c>
      <c r="BD6" s="4">
        <f t="shared" si="1"/>
        <v>46093</v>
      </c>
      <c r="BE6" s="4">
        <f t="shared" si="1"/>
        <v>46094</v>
      </c>
      <c r="BF6" s="4">
        <f t="shared" si="1"/>
        <v>46095</v>
      </c>
      <c r="BG6" s="6">
        <f t="shared" si="1"/>
        <v>46096</v>
      </c>
      <c r="BH6" s="5">
        <f>BG6+1</f>
        <v>46097</v>
      </c>
      <c r="BI6" s="4">
        <f>BH6+1</f>
        <v>46098</v>
      </c>
      <c r="BJ6" s="4">
        <f t="shared" ref="BJ6:BN6" si="2">BI6+1</f>
        <v>46099</v>
      </c>
      <c r="BK6" s="4">
        <f t="shared" si="2"/>
        <v>46100</v>
      </c>
      <c r="BL6" s="4">
        <f t="shared" si="2"/>
        <v>46101</v>
      </c>
      <c r="BM6" s="4">
        <f t="shared" si="2"/>
        <v>46102</v>
      </c>
      <c r="BN6" s="6">
        <f t="shared" si="2"/>
        <v>46103</v>
      </c>
    </row>
    <row r="7" spans="1:66" ht="30" customHeight="1" thickBot="1" x14ac:dyDescent="0.3">
      <c r="A7" s="29" t="s">
        <v>2</v>
      </c>
      <c r="B7" s="27" t="s">
        <v>12</v>
      </c>
      <c r="C7" s="28" t="s">
        <v>13</v>
      </c>
      <c r="D7" s="28" t="s">
        <v>3</v>
      </c>
      <c r="E7" s="28" t="s">
        <v>7</v>
      </c>
      <c r="F7" s="28" t="s">
        <v>4</v>
      </c>
      <c r="G7" s="28" t="s">
        <v>5</v>
      </c>
      <c r="H7" s="30" t="s">
        <v>6</v>
      </c>
      <c r="I7" s="31"/>
      <c r="J7" s="31" t="s">
        <v>1</v>
      </c>
      <c r="K7" s="32" t="str">
        <f>LEFT(TEXT(K6,"ddd"),1)</f>
        <v>M</v>
      </c>
      <c r="L7" s="32" t="str">
        <f t="shared" ref="L7:Q7" si="3">LEFT(TEXT(L6,"ddd"),1)</f>
        <v>T</v>
      </c>
      <c r="M7" s="32" t="str">
        <f t="shared" si="3"/>
        <v>W</v>
      </c>
      <c r="N7" s="32" t="str">
        <f t="shared" si="3"/>
        <v>T</v>
      </c>
      <c r="O7" s="32" t="str">
        <f t="shared" si="3"/>
        <v>F</v>
      </c>
      <c r="P7" s="32" t="str">
        <f t="shared" si="3"/>
        <v>S</v>
      </c>
      <c r="Q7" s="32" t="str">
        <f t="shared" si="3"/>
        <v>S</v>
      </c>
      <c r="R7" s="32" t="str">
        <f t="shared" ref="R7:BN7" si="4">LEFT(TEXT(R6,"ddd"),1)</f>
        <v>M</v>
      </c>
      <c r="S7" s="32" t="str">
        <f t="shared" si="4"/>
        <v>T</v>
      </c>
      <c r="T7" s="32" t="str">
        <f t="shared" si="4"/>
        <v>W</v>
      </c>
      <c r="U7" s="32" t="str">
        <f t="shared" si="4"/>
        <v>T</v>
      </c>
      <c r="V7" s="32" t="str">
        <f t="shared" si="4"/>
        <v>F</v>
      </c>
      <c r="W7" s="32" t="str">
        <f t="shared" si="4"/>
        <v>S</v>
      </c>
      <c r="X7" s="32" t="str">
        <f t="shared" si="4"/>
        <v>S</v>
      </c>
      <c r="Y7" s="32" t="str">
        <f t="shared" si="4"/>
        <v>M</v>
      </c>
      <c r="Z7" s="32" t="str">
        <f t="shared" si="4"/>
        <v>T</v>
      </c>
      <c r="AA7" s="32" t="str">
        <f t="shared" si="4"/>
        <v>W</v>
      </c>
      <c r="AB7" s="32" t="str">
        <f t="shared" si="4"/>
        <v>T</v>
      </c>
      <c r="AC7" s="32" t="str">
        <f t="shared" si="4"/>
        <v>F</v>
      </c>
      <c r="AD7" s="32" t="str">
        <f t="shared" si="4"/>
        <v>S</v>
      </c>
      <c r="AE7" s="32" t="str">
        <f t="shared" si="4"/>
        <v>S</v>
      </c>
      <c r="AF7" s="32" t="str">
        <f t="shared" si="4"/>
        <v>M</v>
      </c>
      <c r="AG7" s="32" t="str">
        <f t="shared" si="4"/>
        <v>T</v>
      </c>
      <c r="AH7" s="32" t="str">
        <f t="shared" si="4"/>
        <v>W</v>
      </c>
      <c r="AI7" s="32" t="str">
        <f t="shared" si="4"/>
        <v>T</v>
      </c>
      <c r="AJ7" s="32" t="str">
        <f t="shared" si="4"/>
        <v>F</v>
      </c>
      <c r="AK7" s="32" t="str">
        <f t="shared" si="4"/>
        <v>S</v>
      </c>
      <c r="AL7" s="32" t="str">
        <f t="shared" si="4"/>
        <v>S</v>
      </c>
      <c r="AM7" s="32" t="str">
        <f t="shared" si="4"/>
        <v>M</v>
      </c>
      <c r="AN7" s="32" t="str">
        <f t="shared" si="4"/>
        <v>T</v>
      </c>
      <c r="AO7" s="32" t="str">
        <f t="shared" si="4"/>
        <v>W</v>
      </c>
      <c r="AP7" s="32" t="str">
        <f t="shared" si="4"/>
        <v>T</v>
      </c>
      <c r="AQ7" s="32" t="str">
        <f t="shared" si="4"/>
        <v>F</v>
      </c>
      <c r="AR7" s="32" t="str">
        <f t="shared" si="4"/>
        <v>S</v>
      </c>
      <c r="AS7" s="32" t="str">
        <f t="shared" si="4"/>
        <v>S</v>
      </c>
      <c r="AT7" s="32" t="str">
        <f t="shared" si="4"/>
        <v>M</v>
      </c>
      <c r="AU7" s="32" t="str">
        <f t="shared" si="4"/>
        <v>T</v>
      </c>
      <c r="AV7" s="32" t="str">
        <f t="shared" si="4"/>
        <v>W</v>
      </c>
      <c r="AW7" s="32" t="str">
        <f t="shared" si="4"/>
        <v>T</v>
      </c>
      <c r="AX7" s="32" t="str">
        <f t="shared" si="4"/>
        <v>F</v>
      </c>
      <c r="AY7" s="32" t="str">
        <f t="shared" si="4"/>
        <v>S</v>
      </c>
      <c r="AZ7" s="32" t="str">
        <f t="shared" si="4"/>
        <v>S</v>
      </c>
      <c r="BA7" s="32" t="str">
        <f t="shared" si="4"/>
        <v>M</v>
      </c>
      <c r="BB7" s="32" t="str">
        <f t="shared" si="4"/>
        <v>T</v>
      </c>
      <c r="BC7" s="32" t="str">
        <f t="shared" si="4"/>
        <v>W</v>
      </c>
      <c r="BD7" s="32" t="str">
        <f t="shared" si="4"/>
        <v>T</v>
      </c>
      <c r="BE7" s="32" t="str">
        <f t="shared" si="4"/>
        <v>F</v>
      </c>
      <c r="BF7" s="32" t="str">
        <f t="shared" si="4"/>
        <v>S</v>
      </c>
      <c r="BG7" s="32" t="str">
        <f t="shared" si="4"/>
        <v>S</v>
      </c>
      <c r="BH7" s="32" t="str">
        <f t="shared" si="4"/>
        <v>M</v>
      </c>
      <c r="BI7" s="32" t="str">
        <f t="shared" si="4"/>
        <v>T</v>
      </c>
      <c r="BJ7" s="32" t="str">
        <f t="shared" si="4"/>
        <v>W</v>
      </c>
      <c r="BK7" s="32" t="str">
        <f t="shared" si="4"/>
        <v>T</v>
      </c>
      <c r="BL7" s="32" t="str">
        <f t="shared" si="4"/>
        <v>F</v>
      </c>
      <c r="BM7" s="32" t="str">
        <f t="shared" si="4"/>
        <v>S</v>
      </c>
      <c r="BN7" s="32" t="str">
        <f t="shared" si="4"/>
        <v>S</v>
      </c>
    </row>
    <row r="8" spans="1:66" ht="4.5" customHeight="1" thickBot="1" x14ac:dyDescent="0.3">
      <c r="C8" s="34"/>
      <c r="F8"/>
      <c r="J8" t="str">
        <f>IF(OR(ISBLANK(task_start),ISBLANK(task_end)),"",task_end-task_start+1)</f>
        <v/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66" s="1" customFormat="1" ht="30" customHeight="1" thickBot="1" x14ac:dyDescent="0.3">
      <c r="A9" s="68">
        <v>1</v>
      </c>
      <c r="B9" s="67" t="s">
        <v>8</v>
      </c>
      <c r="C9" s="35" t="s">
        <v>9</v>
      </c>
      <c r="D9" s="43">
        <v>0.5</v>
      </c>
      <c r="E9" s="52" t="s">
        <v>10</v>
      </c>
      <c r="F9" s="18">
        <v>46048</v>
      </c>
      <c r="G9" s="18">
        <v>46059</v>
      </c>
      <c r="H9" s="18"/>
      <c r="I9" s="7"/>
      <c r="J9" s="7">
        <f t="shared" ref="J9:J51" si="5">IF(OR(ISBLANK(task_start),ISBLANK(task_end)),"",task_end-task_start+1)</f>
        <v>12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66" s="1" customFormat="1" ht="30" customHeight="1" thickBot="1" x14ac:dyDescent="0.3">
      <c r="A10" s="68"/>
      <c r="B10" s="67"/>
      <c r="C10" s="35" t="s">
        <v>16</v>
      </c>
      <c r="D10" s="43">
        <v>0</v>
      </c>
      <c r="E10" s="52" t="s">
        <v>17</v>
      </c>
      <c r="F10" s="18">
        <v>46059</v>
      </c>
      <c r="G10" s="18">
        <v>46066</v>
      </c>
      <c r="H10" s="44"/>
      <c r="I10" s="7"/>
      <c r="J10" s="7">
        <f t="shared" si="5"/>
        <v>8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</row>
    <row r="11" spans="1:66" s="1" customFormat="1" ht="30" customHeight="1" thickBot="1" x14ac:dyDescent="0.3">
      <c r="A11" s="71">
        <v>2</v>
      </c>
      <c r="B11" s="67" t="s">
        <v>15</v>
      </c>
      <c r="C11" s="35" t="s">
        <v>18</v>
      </c>
      <c r="D11" s="43">
        <v>0.7</v>
      </c>
      <c r="E11" s="52" t="s">
        <v>11</v>
      </c>
      <c r="F11" s="18">
        <v>46049</v>
      </c>
      <c r="G11" s="18">
        <v>46059</v>
      </c>
      <c r="H11" s="18"/>
      <c r="I11" s="7"/>
      <c r="J11" s="7">
        <f t="shared" si="5"/>
        <v>11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66" s="1" customFormat="1" ht="30" customHeight="1" thickBot="1" x14ac:dyDescent="0.3">
      <c r="A12" s="72"/>
      <c r="B12" s="67"/>
      <c r="C12" s="35" t="s">
        <v>20</v>
      </c>
      <c r="D12" s="43">
        <v>0</v>
      </c>
      <c r="E12" s="52" t="s">
        <v>11</v>
      </c>
      <c r="F12" s="18">
        <v>46062</v>
      </c>
      <c r="G12" s="18"/>
      <c r="H12" s="44"/>
      <c r="I12" s="7"/>
      <c r="J12" s="7" t="str">
        <f t="shared" si="5"/>
        <v/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66" s="1" customFormat="1" ht="30.75" thickBot="1" x14ac:dyDescent="0.3">
      <c r="A13" s="73"/>
      <c r="B13" s="67"/>
      <c r="C13" s="35" t="s">
        <v>21</v>
      </c>
      <c r="D13" s="43"/>
      <c r="E13" s="43"/>
      <c r="F13" s="18"/>
      <c r="G13" s="18"/>
      <c r="H13" s="42"/>
      <c r="I13" s="7"/>
      <c r="J13" s="7" t="str">
        <f t="shared" si="5"/>
        <v/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r="14" spans="1:66" s="1" customFormat="1" ht="45.75" thickBot="1" x14ac:dyDescent="0.3">
      <c r="A14" s="46">
        <v>3</v>
      </c>
      <c r="B14" s="60" t="s">
        <v>23</v>
      </c>
      <c r="C14" s="35" t="s">
        <v>19</v>
      </c>
      <c r="D14" s="43">
        <v>0</v>
      </c>
      <c r="E14" s="63" t="s">
        <v>27</v>
      </c>
      <c r="F14" s="18"/>
      <c r="G14" s="18"/>
      <c r="H14" s="42"/>
      <c r="I14" s="7"/>
      <c r="J14" s="7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</row>
    <row r="15" spans="1:66" s="1" customFormat="1" ht="30" customHeight="1" thickBot="1" x14ac:dyDescent="0.3">
      <c r="A15" s="62">
        <v>4</v>
      </c>
      <c r="B15" s="61" t="s">
        <v>22</v>
      </c>
      <c r="C15" s="35" t="s">
        <v>24</v>
      </c>
      <c r="D15" s="43">
        <v>0</v>
      </c>
      <c r="E15" s="43" t="s">
        <v>25</v>
      </c>
      <c r="F15" s="18"/>
      <c r="G15" s="18"/>
      <c r="H15" s="18"/>
      <c r="I15" s="7"/>
      <c r="J15" s="7" t="str">
        <f t="shared" si="5"/>
        <v/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0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66" s="1" customFormat="1" ht="30" hidden="1" customHeight="1" thickBot="1" x14ac:dyDescent="0.3">
      <c r="A16" s="57"/>
      <c r="B16" s="57"/>
      <c r="C16" s="35"/>
      <c r="D16" s="43"/>
      <c r="E16" s="43"/>
      <c r="F16" s="18"/>
      <c r="G16" s="18"/>
      <c r="H16" s="18"/>
      <c r="I16" s="7"/>
      <c r="J16" s="7" t="str">
        <f t="shared" si="5"/>
        <v/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</row>
    <row r="17" spans="1:66" s="1" customFormat="1" ht="30" hidden="1" customHeight="1" thickBot="1" x14ac:dyDescent="0.3">
      <c r="A17" s="57"/>
      <c r="B17" s="57"/>
      <c r="C17" s="35"/>
      <c r="D17" s="43"/>
      <c r="E17" s="43"/>
      <c r="F17" s="18"/>
      <c r="G17" s="18"/>
      <c r="H17" s="18"/>
      <c r="I17" s="7"/>
      <c r="J17" s="7" t="str">
        <f t="shared" si="5"/>
        <v/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</row>
    <row r="18" spans="1:66" s="1" customFormat="1" ht="30" hidden="1" customHeight="1" thickBot="1" x14ac:dyDescent="0.3">
      <c r="A18" s="57"/>
      <c r="B18" s="57"/>
      <c r="C18" s="35"/>
      <c r="D18" s="43"/>
      <c r="E18" s="43"/>
      <c r="F18" s="18"/>
      <c r="G18" s="18"/>
      <c r="H18" s="18"/>
      <c r="I18" s="7"/>
      <c r="J18" s="7" t="str">
        <f t="shared" si="5"/>
        <v/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</row>
    <row r="19" spans="1:66" s="1" customFormat="1" ht="30" hidden="1" customHeight="1" thickBot="1" x14ac:dyDescent="0.3">
      <c r="A19" s="57"/>
      <c r="B19" s="57"/>
      <c r="C19" s="35"/>
      <c r="D19" s="43"/>
      <c r="E19" s="43"/>
      <c r="F19" s="18"/>
      <c r="G19" s="18"/>
      <c r="H19" s="42"/>
      <c r="I19" s="7"/>
      <c r="J19" s="7" t="str">
        <f t="shared" si="5"/>
        <v/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</row>
    <row r="20" spans="1:66" s="1" customFormat="1" ht="30" hidden="1" customHeight="1" thickBot="1" x14ac:dyDescent="0.3">
      <c r="A20" s="57"/>
      <c r="B20" s="57"/>
      <c r="C20" s="35"/>
      <c r="D20" s="43"/>
      <c r="E20" s="43"/>
      <c r="F20" s="42"/>
      <c r="G20" s="42"/>
      <c r="H20" s="42"/>
      <c r="I20" s="7"/>
      <c r="J20" s="7" t="str">
        <f t="shared" si="5"/>
        <v/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</row>
    <row r="21" spans="1:66" s="1" customFormat="1" ht="30" hidden="1" customHeight="1" thickBot="1" x14ac:dyDescent="0.3">
      <c r="A21" s="57"/>
      <c r="B21" s="57"/>
      <c r="C21" s="35"/>
      <c r="D21" s="43"/>
      <c r="E21" s="43"/>
      <c r="F21" s="42"/>
      <c r="G21" s="42"/>
      <c r="H21" s="42"/>
      <c r="I21" s="7"/>
      <c r="J21" s="7" t="str">
        <f t="shared" si="5"/>
        <v/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</row>
    <row r="22" spans="1:66" s="1" customFormat="1" ht="30" hidden="1" customHeight="1" thickBot="1" x14ac:dyDescent="0.3">
      <c r="A22" s="57"/>
      <c r="B22" s="58"/>
      <c r="C22" s="35"/>
      <c r="D22" s="43"/>
      <c r="E22" s="43"/>
      <c r="F22" s="18"/>
      <c r="G22" s="18"/>
      <c r="H22" s="18"/>
      <c r="I22" s="7"/>
      <c r="J22" s="7" t="str">
        <f t="shared" si="5"/>
        <v/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</row>
    <row r="23" spans="1:66" s="1" customFormat="1" ht="30" hidden="1" customHeight="1" thickBot="1" x14ac:dyDescent="0.3">
      <c r="A23" s="57"/>
      <c r="B23" s="58"/>
      <c r="C23" s="35"/>
      <c r="D23" s="43"/>
      <c r="E23" s="43"/>
      <c r="F23" s="18"/>
      <c r="G23" s="18"/>
      <c r="H23" s="42"/>
      <c r="I23" s="7"/>
      <c r="J23" s="7" t="str">
        <f t="shared" si="5"/>
        <v/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</row>
    <row r="24" spans="1:66" s="1" customFormat="1" ht="30" hidden="1" customHeight="1" thickBot="1" x14ac:dyDescent="0.3">
      <c r="A24" s="57"/>
      <c r="B24" s="58"/>
      <c r="C24" s="35"/>
      <c r="D24" s="43"/>
      <c r="E24" s="43"/>
      <c r="F24" s="18"/>
      <c r="G24" s="18"/>
      <c r="H24" s="18"/>
      <c r="I24" s="7"/>
      <c r="J24" s="7" t="str">
        <f t="shared" si="5"/>
        <v/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</row>
    <row r="25" spans="1:66" s="1" customFormat="1" ht="30" hidden="1" customHeight="1" thickBot="1" x14ac:dyDescent="0.3">
      <c r="A25" s="57"/>
      <c r="B25" s="58"/>
      <c r="C25" s="35"/>
      <c r="D25" s="43"/>
      <c r="E25" s="43"/>
      <c r="F25" s="18"/>
      <c r="G25" s="18"/>
      <c r="H25" s="18"/>
      <c r="I25" s="7"/>
      <c r="J25" s="7" t="str">
        <f t="shared" si="5"/>
        <v/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</row>
    <row r="26" spans="1:66" s="1" customFormat="1" ht="30" hidden="1" customHeight="1" thickBot="1" x14ac:dyDescent="0.3">
      <c r="A26" s="57"/>
      <c r="B26" s="58"/>
      <c r="C26" s="35"/>
      <c r="D26" s="43"/>
      <c r="E26" s="43"/>
      <c r="F26" s="18"/>
      <c r="G26" s="18"/>
      <c r="H26" s="18"/>
      <c r="I26" s="7"/>
      <c r="J26" s="7" t="str">
        <f t="shared" si="5"/>
        <v/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</row>
    <row r="27" spans="1:66" s="1" customFormat="1" ht="30" hidden="1" customHeight="1" thickBot="1" x14ac:dyDescent="0.3">
      <c r="A27" s="57"/>
      <c r="B27" s="58"/>
      <c r="C27" s="35"/>
      <c r="D27" s="43"/>
      <c r="E27" s="43"/>
      <c r="F27" s="18"/>
      <c r="G27" s="18"/>
      <c r="H27" s="42"/>
      <c r="I27" s="7"/>
      <c r="J27" s="7" t="str">
        <f t="shared" si="5"/>
        <v/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</row>
    <row r="28" spans="1:66" s="1" customFormat="1" ht="30" hidden="1" customHeight="1" thickBot="1" x14ac:dyDescent="0.3">
      <c r="A28" s="57"/>
      <c r="B28" s="58"/>
      <c r="C28" s="35"/>
      <c r="D28" s="43"/>
      <c r="E28" s="43"/>
      <c r="F28" s="18"/>
      <c r="G28" s="18"/>
      <c r="H28" s="18"/>
      <c r="I28" s="7"/>
      <c r="J28" s="7" t="str">
        <f t="shared" si="5"/>
        <v/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</row>
    <row r="29" spans="1:66" s="1" customFormat="1" ht="30" hidden="1" customHeight="1" thickBot="1" x14ac:dyDescent="0.3">
      <c r="A29" s="57"/>
      <c r="B29" s="58"/>
      <c r="C29" s="35"/>
      <c r="D29" s="43"/>
      <c r="E29" s="43"/>
      <c r="F29" s="18"/>
      <c r="G29" s="18"/>
      <c r="H29" s="18"/>
      <c r="I29" s="7"/>
      <c r="J29" s="7" t="str">
        <f t="shared" si="5"/>
        <v/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</row>
    <row r="30" spans="1:66" s="1" customFormat="1" ht="30" hidden="1" customHeight="1" thickBot="1" x14ac:dyDescent="0.3">
      <c r="A30" s="57"/>
      <c r="B30" s="58"/>
      <c r="C30" s="35"/>
      <c r="D30" s="43"/>
      <c r="E30" s="43"/>
      <c r="F30" s="18"/>
      <c r="G30" s="18"/>
      <c r="H30" s="18"/>
      <c r="I30" s="7"/>
      <c r="J30" s="7" t="str">
        <f t="shared" si="5"/>
        <v/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</row>
    <row r="31" spans="1:66" s="1" customFormat="1" ht="30" hidden="1" customHeight="1" thickBot="1" x14ac:dyDescent="0.3">
      <c r="A31" s="57"/>
      <c r="B31" s="58"/>
      <c r="C31" s="35"/>
      <c r="D31" s="43"/>
      <c r="E31" s="43"/>
      <c r="F31" s="18"/>
      <c r="G31" s="18"/>
      <c r="H31" s="42"/>
      <c r="I31" s="7"/>
      <c r="J31" s="7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</row>
    <row r="32" spans="1:66" s="1" customFormat="1" ht="30" hidden="1" customHeight="1" thickBot="1" x14ac:dyDescent="0.3">
      <c r="A32" s="57"/>
      <c r="B32" s="58"/>
      <c r="C32" s="35"/>
      <c r="D32" s="43"/>
      <c r="E32" s="43"/>
      <c r="F32" s="42"/>
      <c r="G32" s="42"/>
      <c r="H32" s="42"/>
      <c r="I32" s="7"/>
      <c r="J32" s="7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</row>
    <row r="33" spans="1:66" s="1" customFormat="1" ht="30" hidden="1" customHeight="1" thickBot="1" x14ac:dyDescent="0.3">
      <c r="A33" s="57"/>
      <c r="B33" s="58"/>
      <c r="C33" s="35"/>
      <c r="D33" s="43"/>
      <c r="E33" s="43"/>
      <c r="F33" s="18"/>
      <c r="G33" s="18"/>
      <c r="H33" s="18"/>
      <c r="I33" s="7"/>
      <c r="J33" s="7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</row>
    <row r="34" spans="1:66" s="1" customFormat="1" ht="30" hidden="1" customHeight="1" thickBot="1" x14ac:dyDescent="0.3">
      <c r="A34" s="57"/>
      <c r="B34" s="58"/>
      <c r="C34" s="35"/>
      <c r="D34" s="43"/>
      <c r="E34" s="43"/>
      <c r="F34" s="18"/>
      <c r="G34" s="18"/>
      <c r="H34" s="18"/>
      <c r="I34" s="7"/>
      <c r="J34" s="7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</row>
    <row r="35" spans="1:66" s="1" customFormat="1" ht="30" hidden="1" customHeight="1" thickBot="1" x14ac:dyDescent="0.3">
      <c r="A35" s="57"/>
      <c r="B35" s="58"/>
      <c r="C35" s="35"/>
      <c r="D35" s="43"/>
      <c r="E35" s="43"/>
      <c r="F35" s="18"/>
      <c r="G35" s="18"/>
      <c r="H35" s="42"/>
      <c r="I35" s="7"/>
      <c r="J35" s="7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</row>
    <row r="36" spans="1:66" s="1" customFormat="1" ht="30" hidden="1" customHeight="1" thickBot="1" x14ac:dyDescent="0.3">
      <c r="A36" s="57"/>
      <c r="B36" s="58"/>
      <c r="C36" s="35"/>
      <c r="D36" s="43"/>
      <c r="E36" s="43"/>
      <c r="F36" s="18"/>
      <c r="G36" s="18"/>
      <c r="H36" s="18"/>
      <c r="I36" s="7"/>
      <c r="J36" s="7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</row>
    <row r="37" spans="1:66" s="1" customFormat="1" ht="30" hidden="1" customHeight="1" thickBot="1" x14ac:dyDescent="0.3">
      <c r="A37" s="57"/>
      <c r="B37" s="58"/>
      <c r="C37" s="35"/>
      <c r="D37" s="19"/>
      <c r="E37" s="19"/>
      <c r="F37" s="18"/>
      <c r="G37" s="18"/>
      <c r="H37" s="20"/>
      <c r="I37" s="7"/>
      <c r="J37" s="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</row>
    <row r="38" spans="1:66" s="1" customFormat="1" ht="30" hidden="1" customHeight="1" thickBot="1" x14ac:dyDescent="0.3">
      <c r="A38" s="21"/>
      <c r="B38" s="59"/>
      <c r="C38" s="35"/>
      <c r="D38" s="19"/>
      <c r="E38" s="19"/>
      <c r="F38" s="18"/>
      <c r="G38" s="18"/>
      <c r="H38" s="18"/>
      <c r="I38" s="7"/>
      <c r="J38" s="7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</row>
    <row r="39" spans="1:66" s="1" customFormat="1" ht="30" hidden="1" customHeight="1" thickBot="1" x14ac:dyDescent="0.3">
      <c r="A39" s="21"/>
      <c r="B39" s="45"/>
      <c r="C39" s="35"/>
      <c r="D39" s="19"/>
      <c r="E39" s="19"/>
      <c r="F39" s="18"/>
      <c r="G39" s="18"/>
      <c r="H39" s="18"/>
      <c r="I39" s="7"/>
      <c r="J39" s="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</row>
    <row r="40" spans="1:66" s="1" customFormat="1" ht="30" hidden="1" customHeight="1" thickBot="1" x14ac:dyDescent="0.3">
      <c r="A40" s="57"/>
      <c r="B40" s="58"/>
      <c r="C40" s="36"/>
      <c r="D40" s="43"/>
      <c r="E40" s="43"/>
      <c r="F40" s="18"/>
      <c r="G40" s="18"/>
      <c r="H40" s="18"/>
      <c r="I40" s="7"/>
      <c r="J40" s="7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</row>
    <row r="41" spans="1:66" s="1" customFormat="1" ht="30" hidden="1" customHeight="1" thickBot="1" x14ac:dyDescent="0.3">
      <c r="A41" s="57"/>
      <c r="B41" s="58"/>
      <c r="C41" s="35"/>
      <c r="D41" s="43"/>
      <c r="E41" s="43"/>
      <c r="F41" s="18"/>
      <c r="G41" s="18"/>
      <c r="H41" s="18"/>
      <c r="I41" s="7"/>
      <c r="J41" s="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</row>
    <row r="42" spans="1:66" s="1" customFormat="1" ht="30" hidden="1" customHeight="1" thickBot="1" x14ac:dyDescent="0.3">
      <c r="A42" s="57"/>
      <c r="B42" s="58"/>
      <c r="C42" s="35"/>
      <c r="D42" s="43"/>
      <c r="E42" s="43"/>
      <c r="F42" s="18"/>
      <c r="G42" s="18"/>
      <c r="H42" s="18"/>
      <c r="I42" s="7"/>
      <c r="J42" s="7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</row>
    <row r="43" spans="1:66" s="1" customFormat="1" ht="30" hidden="1" customHeight="1" thickBot="1" x14ac:dyDescent="0.3">
      <c r="A43" s="21"/>
      <c r="B43" s="45"/>
      <c r="C43" s="35"/>
      <c r="D43" s="43"/>
      <c r="E43" s="43"/>
      <c r="F43" s="18"/>
      <c r="G43" s="18"/>
      <c r="H43" s="18"/>
      <c r="I43" s="7"/>
      <c r="J43" s="7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</row>
    <row r="44" spans="1:66" s="1" customFormat="1" ht="30" hidden="1" customHeight="1" thickBot="1" x14ac:dyDescent="0.3">
      <c r="A44" s="58"/>
      <c r="B44" s="58"/>
      <c r="C44" s="35"/>
      <c r="D44" s="22"/>
      <c r="E44" s="22"/>
      <c r="F44" s="44"/>
      <c r="G44" s="44"/>
      <c r="H44" s="44"/>
      <c r="I44" s="7"/>
      <c r="J44" s="7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</row>
    <row r="45" spans="1:66" s="1" customFormat="1" ht="30" hidden="1" customHeight="1" thickBot="1" x14ac:dyDescent="0.3">
      <c r="A45" s="58"/>
      <c r="B45" s="58"/>
      <c r="C45" s="36"/>
      <c r="D45" s="22"/>
      <c r="E45" s="22"/>
      <c r="F45" s="44"/>
      <c r="G45" s="42"/>
      <c r="H45" s="42"/>
      <c r="I45" s="7"/>
      <c r="J45" s="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</row>
    <row r="46" spans="1:66" s="1" customFormat="1" ht="30" hidden="1" customHeight="1" thickBot="1" x14ac:dyDescent="0.3">
      <c r="A46" s="58"/>
      <c r="B46" s="58"/>
      <c r="C46" s="35"/>
      <c r="D46" s="22"/>
      <c r="E46" s="22"/>
      <c r="F46" s="42"/>
      <c r="G46" s="42"/>
      <c r="H46" s="42"/>
      <c r="I46" s="7"/>
      <c r="J46" s="7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</row>
    <row r="47" spans="1:66" s="1" customFormat="1" ht="30" hidden="1" customHeight="1" thickBot="1" x14ac:dyDescent="0.3">
      <c r="A47" s="58"/>
      <c r="B47" s="58"/>
      <c r="C47" s="35"/>
      <c r="D47" s="43"/>
      <c r="E47" s="43"/>
      <c r="F47" s="18"/>
      <c r="G47" s="18"/>
      <c r="H47" s="42"/>
      <c r="I47" s="7"/>
      <c r="J47" s="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</row>
    <row r="48" spans="1:66" s="1" customFormat="1" ht="30" hidden="1" customHeight="1" thickBot="1" x14ac:dyDescent="0.3">
      <c r="A48" s="57"/>
      <c r="B48" s="58"/>
      <c r="C48" s="35"/>
      <c r="D48" s="22"/>
      <c r="E48" s="22"/>
      <c r="F48" s="44"/>
      <c r="G48" s="44"/>
      <c r="H48" s="44"/>
      <c r="I48" s="7"/>
      <c r="J48" s="7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</row>
    <row r="49" spans="1:66" s="1" customFormat="1" ht="30" hidden="1" customHeight="1" thickBot="1" x14ac:dyDescent="0.3">
      <c r="A49" s="57"/>
      <c r="B49" s="58"/>
      <c r="C49" s="36"/>
      <c r="D49" s="22"/>
      <c r="E49" s="22"/>
      <c r="F49" s="44"/>
      <c r="G49" s="42"/>
      <c r="H49" s="42"/>
      <c r="I49" s="7"/>
      <c r="J49" s="7" t="str">
        <f t="shared" si="5"/>
        <v/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</row>
    <row r="50" spans="1:66" s="1" customFormat="1" ht="30" hidden="1" customHeight="1" thickBot="1" x14ac:dyDescent="0.3">
      <c r="A50" s="57"/>
      <c r="B50" s="58"/>
      <c r="C50" s="35"/>
      <c r="D50" s="22"/>
      <c r="E50" s="22"/>
      <c r="F50" s="18"/>
      <c r="G50" s="18"/>
      <c r="H50" s="18"/>
      <c r="I50" s="7"/>
      <c r="J50" s="7" t="str">
        <f t="shared" si="5"/>
        <v/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</row>
    <row r="51" spans="1:66" s="1" customFormat="1" ht="30" hidden="1" customHeight="1" thickBot="1" x14ac:dyDescent="0.3">
      <c r="A51" s="57"/>
      <c r="B51" s="58"/>
      <c r="C51" s="35"/>
      <c r="D51" s="22"/>
      <c r="E51" s="22"/>
      <c r="F51" s="18"/>
      <c r="G51" s="18"/>
      <c r="H51" s="42"/>
      <c r="I51" s="7"/>
      <c r="J51" s="7" t="str">
        <f t="shared" si="5"/>
        <v/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</row>
    <row r="52" spans="1:66" s="1" customFormat="1" ht="30" hidden="1" customHeight="1" thickBot="1" x14ac:dyDescent="0.3">
      <c r="A52" s="57"/>
      <c r="B52" s="58"/>
      <c r="C52" s="35"/>
      <c r="D52" s="22"/>
      <c r="E52" s="22"/>
      <c r="F52" s="44"/>
      <c r="G52" s="44"/>
      <c r="H52" s="44"/>
      <c r="I52" s="7"/>
      <c r="J52" s="7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</row>
    <row r="53" spans="1:66" s="1" customFormat="1" ht="30" hidden="1" customHeight="1" thickBot="1" x14ac:dyDescent="0.3">
      <c r="A53" s="57"/>
      <c r="B53" s="58"/>
      <c r="C53" s="36"/>
      <c r="D53" s="22"/>
      <c r="E53" s="22"/>
      <c r="F53" s="44"/>
      <c r="G53" s="42"/>
      <c r="H53" s="42"/>
      <c r="I53" s="7"/>
      <c r="J53" s="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</row>
    <row r="54" spans="1:66" s="1" customFormat="1" ht="30" hidden="1" customHeight="1" thickBot="1" x14ac:dyDescent="0.3">
      <c r="A54" s="57"/>
      <c r="B54" s="58"/>
      <c r="C54" s="35"/>
      <c r="D54" s="22"/>
      <c r="E54" s="22"/>
      <c r="F54" s="18"/>
      <c r="G54" s="18"/>
      <c r="H54" s="18"/>
      <c r="I54" s="7"/>
      <c r="J54" s="7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</row>
    <row r="55" spans="1:66" s="1" customFormat="1" ht="30" hidden="1" customHeight="1" thickBot="1" x14ac:dyDescent="0.3">
      <c r="A55" s="57"/>
      <c r="B55" s="58"/>
      <c r="C55" s="35"/>
      <c r="D55" s="22"/>
      <c r="E55" s="22"/>
      <c r="F55" s="18"/>
      <c r="G55" s="18"/>
      <c r="H55" s="42"/>
      <c r="I55" s="7"/>
      <c r="J55" s="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</row>
    <row r="56" spans="1:66" s="1" customFormat="1" ht="30" hidden="1" customHeight="1" thickBot="1" x14ac:dyDescent="0.3">
      <c r="A56" s="58"/>
      <c r="B56" s="58"/>
      <c r="C56" s="35"/>
      <c r="D56" s="22"/>
      <c r="E56" s="22"/>
      <c r="F56" s="44"/>
      <c r="G56" s="44"/>
      <c r="H56" s="44"/>
      <c r="I56" s="7"/>
      <c r="J56" s="7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</row>
    <row r="57" spans="1:66" s="1" customFormat="1" ht="30" hidden="1" customHeight="1" thickBot="1" x14ac:dyDescent="0.3">
      <c r="A57" s="58"/>
      <c r="B57" s="58"/>
      <c r="C57" s="35"/>
      <c r="D57" s="43"/>
      <c r="E57" s="43"/>
      <c r="F57" s="44"/>
      <c r="G57" s="42"/>
      <c r="H57" s="42"/>
      <c r="I57" s="7"/>
      <c r="J57" s="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</row>
    <row r="58" spans="1:66" s="1" customFormat="1" ht="30" hidden="1" customHeight="1" thickBot="1" x14ac:dyDescent="0.3">
      <c r="A58" s="58"/>
      <c r="B58" s="58"/>
      <c r="C58" s="35"/>
      <c r="D58" s="43"/>
      <c r="E58" s="43"/>
      <c r="F58" s="18"/>
      <c r="G58" s="18"/>
      <c r="H58" s="18"/>
      <c r="I58" s="7"/>
      <c r="J58" s="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</row>
    <row r="59" spans="1:66" s="1" customFormat="1" ht="30" hidden="1" customHeight="1" thickBot="1" x14ac:dyDescent="0.3">
      <c r="A59" s="58"/>
      <c r="B59" s="58"/>
      <c r="C59" s="35"/>
      <c r="D59" s="43"/>
      <c r="E59" s="43"/>
      <c r="F59" s="18"/>
      <c r="G59" s="18"/>
      <c r="H59" s="42"/>
      <c r="I59" s="7"/>
      <c r="J59" s="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</row>
    <row r="60" spans="1:66" s="1" customFormat="1" ht="30" hidden="1" customHeight="1" thickBot="1" x14ac:dyDescent="0.3">
      <c r="A60" s="58"/>
      <c r="B60" s="58"/>
      <c r="C60" s="35"/>
      <c r="D60" s="43"/>
      <c r="E60" s="43"/>
      <c r="F60" s="44"/>
      <c r="G60" s="44"/>
      <c r="H60" s="44"/>
      <c r="I60" s="7"/>
      <c r="J60" s="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</row>
    <row r="61" spans="1:66" s="1" customFormat="1" ht="30" hidden="1" customHeight="1" thickBot="1" x14ac:dyDescent="0.3">
      <c r="A61" s="58"/>
      <c r="B61" s="58"/>
      <c r="C61" s="35"/>
      <c r="D61" s="43"/>
      <c r="E61" s="43"/>
      <c r="F61" s="44"/>
      <c r="G61" s="42"/>
      <c r="H61" s="42"/>
      <c r="I61" s="7"/>
      <c r="J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</row>
    <row r="62" spans="1:66" s="1" customFormat="1" ht="30" hidden="1" customHeight="1" thickBot="1" x14ac:dyDescent="0.3">
      <c r="A62" s="58"/>
      <c r="B62" s="58"/>
      <c r="C62" s="35"/>
      <c r="D62" s="43"/>
      <c r="E62" s="43"/>
      <c r="F62" s="42"/>
      <c r="G62" s="42"/>
      <c r="H62" s="42"/>
      <c r="I62" s="7"/>
      <c r="J62" s="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</row>
    <row r="63" spans="1:66" s="1" customFormat="1" ht="30" hidden="1" customHeight="1" thickBot="1" x14ac:dyDescent="0.3">
      <c r="A63" s="58"/>
      <c r="B63" s="58"/>
      <c r="C63" s="35"/>
      <c r="D63" s="43"/>
      <c r="E63" s="43"/>
      <c r="F63" s="42"/>
      <c r="G63" s="42"/>
      <c r="H63" s="42"/>
      <c r="I63" s="7"/>
      <c r="J63" s="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</row>
    <row r="64" spans="1:66" s="1" customFormat="1" ht="30" hidden="1" customHeight="1" thickBot="1" x14ac:dyDescent="0.3">
      <c r="A64" s="58"/>
      <c r="B64" s="58"/>
      <c r="C64" s="35"/>
      <c r="D64" s="43"/>
      <c r="E64" s="43"/>
      <c r="F64" s="44"/>
      <c r="G64" s="44"/>
      <c r="H64" s="44"/>
      <c r="I64" s="7"/>
      <c r="J64" s="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</row>
    <row r="65" spans="1:66" s="1" customFormat="1" ht="30" hidden="1" customHeight="1" thickBot="1" x14ac:dyDescent="0.3">
      <c r="A65" s="58"/>
      <c r="B65" s="58"/>
      <c r="C65" s="35"/>
      <c r="D65" s="43"/>
      <c r="E65" s="43"/>
      <c r="F65" s="44"/>
      <c r="G65" s="42"/>
      <c r="H65" s="42"/>
      <c r="I65" s="7"/>
      <c r="J65" s="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</row>
    <row r="66" spans="1:66" s="1" customFormat="1" ht="30" hidden="1" customHeight="1" thickBot="1" x14ac:dyDescent="0.3">
      <c r="A66" s="58"/>
      <c r="B66" s="58"/>
      <c r="C66" s="35"/>
      <c r="D66" s="43"/>
      <c r="E66" s="43"/>
      <c r="F66" s="18"/>
      <c r="G66" s="18"/>
      <c r="H66" s="18"/>
      <c r="I66" s="7"/>
      <c r="J66" s="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</row>
    <row r="67" spans="1:66" s="1" customFormat="1" ht="30" hidden="1" customHeight="1" thickBot="1" x14ac:dyDescent="0.3">
      <c r="A67" s="58"/>
      <c r="B67" s="58"/>
      <c r="C67" s="35"/>
      <c r="D67" s="43"/>
      <c r="E67" s="43"/>
      <c r="F67" s="18"/>
      <c r="G67" s="18"/>
      <c r="H67" s="42"/>
      <c r="I67" s="7"/>
      <c r="J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</row>
    <row r="68" spans="1:66" s="1" customFormat="1" ht="30" hidden="1" customHeight="1" thickBot="1" x14ac:dyDescent="0.3">
      <c r="A68" s="58"/>
      <c r="B68" s="58"/>
      <c r="C68" s="35"/>
      <c r="D68" s="43"/>
      <c r="E68" s="43"/>
      <c r="F68" s="44"/>
      <c r="G68" s="44"/>
      <c r="H68" s="44"/>
      <c r="I68" s="7"/>
      <c r="J68" s="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</row>
    <row r="69" spans="1:66" s="1" customFormat="1" ht="30" hidden="1" customHeight="1" thickBot="1" x14ac:dyDescent="0.3">
      <c r="A69" s="58"/>
      <c r="B69" s="58"/>
      <c r="C69" s="35"/>
      <c r="D69" s="43"/>
      <c r="E69" s="43"/>
      <c r="F69" s="44"/>
      <c r="G69" s="42"/>
      <c r="H69" s="42"/>
      <c r="I69" s="7"/>
      <c r="J69" s="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</row>
    <row r="70" spans="1:66" s="1" customFormat="1" ht="30" hidden="1" customHeight="1" thickBot="1" x14ac:dyDescent="0.3">
      <c r="A70" s="58"/>
      <c r="B70" s="58"/>
      <c r="C70" s="35"/>
      <c r="D70" s="43"/>
      <c r="E70" s="43"/>
      <c r="F70" s="18"/>
      <c r="G70" s="18"/>
      <c r="H70" s="18"/>
      <c r="I70" s="7"/>
      <c r="J70" s="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</row>
    <row r="71" spans="1:66" s="1" customFormat="1" ht="30" hidden="1" customHeight="1" thickBot="1" x14ac:dyDescent="0.3">
      <c r="A71" s="58"/>
      <c r="B71" s="58"/>
      <c r="C71" s="35"/>
      <c r="D71" s="43"/>
      <c r="E71" s="43"/>
      <c r="F71" s="18"/>
      <c r="G71" s="18"/>
      <c r="H71" s="18"/>
      <c r="I71" s="7"/>
      <c r="J71" s="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</row>
    <row r="72" spans="1:66" s="1" customFormat="1" ht="30" customHeight="1" thickBot="1" x14ac:dyDescent="0.3">
      <c r="A72" s="16"/>
      <c r="B72" s="23"/>
      <c r="C72" s="37"/>
      <c r="D72" s="24"/>
      <c r="E72" s="24"/>
      <c r="F72" s="25"/>
      <c r="G72" s="25"/>
      <c r="H72" s="25"/>
      <c r="I72" s="7"/>
      <c r="J72" s="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</row>
    <row r="73" spans="1:66" s="1" customFormat="1" ht="30" hidden="1" customHeight="1" thickBot="1" x14ac:dyDescent="0.3">
      <c r="A73" s="16"/>
      <c r="B73" s="13"/>
      <c r="C73" s="38"/>
      <c r="D73" s="8"/>
      <c r="E73" s="8"/>
      <c r="F73" s="12"/>
      <c r="G73" s="12"/>
      <c r="H73" s="12"/>
      <c r="I73" s="7"/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</row>
    <row r="74" spans="1:66" s="1" customFormat="1" ht="30" hidden="1" customHeight="1" thickBot="1" x14ac:dyDescent="0.3">
      <c r="A74" s="16"/>
      <c r="B74" s="13"/>
      <c r="C74" s="38"/>
      <c r="D74" s="8"/>
      <c r="E74" s="8"/>
      <c r="F74" s="12"/>
      <c r="G74" s="12"/>
      <c r="H74" s="12"/>
      <c r="I74" s="7"/>
      <c r="J74" s="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</row>
    <row r="75" spans="1:66" s="1" customFormat="1" ht="30" hidden="1" customHeight="1" thickBot="1" x14ac:dyDescent="0.3">
      <c r="A75" s="16"/>
      <c r="B75" s="13"/>
      <c r="C75" s="38"/>
      <c r="D75" s="8"/>
      <c r="E75" s="8"/>
      <c r="F75" s="12"/>
      <c r="G75" s="12"/>
      <c r="H75" s="12"/>
      <c r="I75" s="7"/>
      <c r="J75" s="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</row>
    <row r="76" spans="1:66" ht="30" customHeight="1" x14ac:dyDescent="0.25">
      <c r="C76" s="39" t="s">
        <v>14</v>
      </c>
      <c r="I76" s="3"/>
    </row>
    <row r="77" spans="1:66" ht="30" customHeight="1" x14ac:dyDescent="0.25">
      <c r="C77" s="40"/>
      <c r="G77" s="11"/>
      <c r="H77" s="11"/>
    </row>
    <row r="78" spans="1:66" ht="30" customHeight="1" x14ac:dyDescent="0.25">
      <c r="C78" s="41"/>
    </row>
  </sheetData>
  <autoFilter ref="A7:H7"/>
  <mergeCells count="21">
    <mergeCell ref="BH5:BN5"/>
    <mergeCell ref="A6:C6"/>
    <mergeCell ref="K5:Q5"/>
    <mergeCell ref="R5:X5"/>
    <mergeCell ref="Y5:AE5"/>
    <mergeCell ref="AF5:AL5"/>
    <mergeCell ref="AM5:AS5"/>
    <mergeCell ref="AT5:AZ5"/>
    <mergeCell ref="BA5:BG5"/>
    <mergeCell ref="B9:B10"/>
    <mergeCell ref="A9:A10"/>
    <mergeCell ref="A1:J2"/>
    <mergeCell ref="G4:H4"/>
    <mergeCell ref="B11:B13"/>
    <mergeCell ref="A11:A13"/>
    <mergeCell ref="K1:M1"/>
    <mergeCell ref="Q1:U1"/>
    <mergeCell ref="Q2:U2"/>
    <mergeCell ref="Q3:U3"/>
    <mergeCell ref="A4:B4"/>
    <mergeCell ref="Q4:U4"/>
  </mergeCells>
  <conditionalFormatting sqref="D72:E75 D8:E8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{B2E06CC6-4649-4035-A23E-45332D1A29AF}</x14:id>
        </ext>
      </extLst>
    </cfRule>
  </conditionalFormatting>
  <conditionalFormatting sqref="K30:BN41 K43:BN75 K6:BN6 R7:BN7 K8:BN8 K12:BN25 K10:BN10">
    <cfRule type="expression" dxfId="31" priority="36">
      <formula>AND(TODAY()&gt;=K$6,TODAY()&lt;L$6)</formula>
    </cfRule>
  </conditionalFormatting>
  <conditionalFormatting sqref="K30:BN41 K43:BN75 K8:BN8 K12:BN25 K10:BN10">
    <cfRule type="expression" dxfId="30" priority="34">
      <formula>AND(task_start&lt;=K$6,ROUNDDOWN((task_end-task_start+1)*task_progress,0)+task_start-1&gt;=K$6)</formula>
    </cfRule>
    <cfRule type="expression" dxfId="29" priority="35" stopIfTrue="1">
      <formula>AND(task_end&gt;=K$6,task_start&lt;L$6)</formula>
    </cfRule>
  </conditionalFormatting>
  <conditionalFormatting sqref="D18:E21">
    <cfRule type="dataBar" priority="2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{AF31FD12-E77E-4915-8A17-F7FA37278CFD}</x14:id>
        </ext>
      </extLst>
    </cfRule>
  </conditionalFormatting>
  <conditionalFormatting sqref="D48:E51">
    <cfRule type="dataBar" priority="2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{7287BFCA-B979-45AB-AA01-C9B3FAD2C890}</x14:id>
        </ext>
      </extLst>
    </cfRule>
  </conditionalFormatting>
  <conditionalFormatting sqref="D56:E62">
    <cfRule type="dataBar" priority="2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{AE44163B-3B2A-44E8-B64B-15AF5B72BC82}</x14:id>
        </ext>
      </extLst>
    </cfRule>
  </conditionalFormatting>
  <conditionalFormatting sqref="D64:E67">
    <cfRule type="dataBar" priority="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{160177E0-5191-4ED6-B8A4-98B197D642C8}</x14:id>
        </ext>
      </extLst>
    </cfRule>
  </conditionalFormatting>
  <conditionalFormatting sqref="D68:E70 D44:E46">
    <cfRule type="dataBar" priority="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{7B03BCA5-43AA-4520-B09F-AAF8F9AB6635}</x14:id>
        </ext>
      </extLst>
    </cfRule>
  </conditionalFormatting>
  <conditionalFormatting sqref="D47:E47">
    <cfRule type="dataBar" priority="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{956506D9-22AA-49E7-A2E8-13EA6948C506}</x14:id>
        </ext>
      </extLst>
    </cfRule>
  </conditionalFormatting>
  <conditionalFormatting sqref="D71:E71">
    <cfRule type="dataBar" priority="2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{D4B585BB-0AA3-41FA-B103-E287A9E7038E}</x14:id>
        </ext>
      </extLst>
    </cfRule>
  </conditionalFormatting>
  <conditionalFormatting sqref="D63:E63">
    <cfRule type="dataBar" priority="2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{3E21A07D-9B1E-429A-8AA0-3C1526A7DA05}</x14:id>
        </ext>
      </extLst>
    </cfRule>
  </conditionalFormatting>
  <conditionalFormatting sqref="D22:E25">
    <cfRule type="dataBar" priority="2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{A74261BE-C8C3-49A3-BCAE-D90143ABC788}</x14:id>
        </ext>
      </extLst>
    </cfRule>
  </conditionalFormatting>
  <conditionalFormatting sqref="D30:E41">
    <cfRule type="dataBar" priority="3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{A37A28D0-8CFC-4214-B838-996728365C3F}</x14:id>
        </ext>
      </extLst>
    </cfRule>
  </conditionalFormatting>
  <conditionalFormatting sqref="D52:E55">
    <cfRule type="dataBar" priority="2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{BB0C7F20-3175-4F4F-AEA3-886EB8DF67CF}</x14:id>
        </ext>
      </extLst>
    </cfRule>
  </conditionalFormatting>
  <conditionalFormatting sqref="K26:BN29">
    <cfRule type="expression" dxfId="28" priority="20">
      <formula>AND(TODAY()&gt;=K$6,TODAY()&lt;L$6)</formula>
    </cfRule>
  </conditionalFormatting>
  <conditionalFormatting sqref="K26:BN29">
    <cfRule type="expression" dxfId="27" priority="18">
      <formula>AND(task_start&lt;=K$6,ROUNDDOWN((task_end-task_start+1)*task_progress,0)+task_start-1&gt;=K$6)</formula>
    </cfRule>
    <cfRule type="expression" dxfId="26" priority="19" stopIfTrue="1">
      <formula>AND(task_end&gt;=K$6,task_start&lt;L$6)</formula>
    </cfRule>
  </conditionalFormatting>
  <conditionalFormatting sqref="D26:E29">
    <cfRule type="dataBar" priority="1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{523FD3FC-010D-45CA-B90E-23A8000E3E47}</x14:id>
        </ext>
      </extLst>
    </cfRule>
  </conditionalFormatting>
  <conditionalFormatting sqref="K42:BN42">
    <cfRule type="expression" dxfId="25" priority="16">
      <formula>AND(TODAY()&gt;=K$6,TODAY()&lt;L$6)</formula>
    </cfRule>
  </conditionalFormatting>
  <conditionalFormatting sqref="K42:BN42">
    <cfRule type="expression" dxfId="24" priority="14">
      <formula>AND(task_start&lt;=K$6,ROUNDDOWN((task_end-task_start+1)*task_progress,0)+task_start-1&gt;=K$6)</formula>
    </cfRule>
    <cfRule type="expression" dxfId="23" priority="15" stopIfTrue="1">
      <formula>AND(task_end&gt;=K$6,task_start&lt;L$6)</formula>
    </cfRule>
  </conditionalFormatting>
  <conditionalFormatting sqref="D42:E43">
    <cfRule type="dataBar" priority="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{FCB49624-242F-41D7-BF64-3F783885E491}</x14:id>
        </ext>
      </extLst>
    </cfRule>
  </conditionalFormatting>
  <conditionalFormatting sqref="K7:Q7">
    <cfRule type="expression" dxfId="22" priority="12">
      <formula>AND(TODAY()&gt;=K$6,TODAY()&lt;L$6)</formula>
    </cfRule>
  </conditionalFormatting>
  <conditionalFormatting sqref="K11:BN11">
    <cfRule type="expression" dxfId="21" priority="10">
      <formula>AND(TODAY()&gt;=K$6,TODAY()&lt;L$6)</formula>
    </cfRule>
  </conditionalFormatting>
  <conditionalFormatting sqref="K11:BN11">
    <cfRule type="expression" dxfId="20" priority="8">
      <formula>AND(task_start&lt;=K$6,ROUNDDOWN((task_end-task_start+1)*task_progress,0)+task_start-1&gt;=K$6)</formula>
    </cfRule>
    <cfRule type="expression" dxfId="19" priority="9" stopIfTrue="1">
      <formula>AND(task_end&gt;=K$6,task_start&lt;L$6)</formula>
    </cfRule>
  </conditionalFormatting>
  <conditionalFormatting sqref="D16:D17">
    <cfRule type="dataBar" priority="41">
      <dataBar>
        <cfvo type="percent" val="0"/>
        <cfvo type="percent" val="100"/>
        <color rgb="FF00B0F0"/>
      </dataBar>
      <extLst>
        <ext xmlns:x14="http://schemas.microsoft.com/office/spreadsheetml/2009/9/main" uri="{B025F937-C7B1-47D3-B67F-A62EFF666E3E}">
          <x14:id>{5F24A201-7AA5-46AB-8F7E-084956B7EF98}</x14:id>
        </ext>
      </extLst>
    </cfRule>
  </conditionalFormatting>
  <conditionalFormatting sqref="K9:BN9">
    <cfRule type="expression" dxfId="18" priority="5">
      <formula>AND(TODAY()&gt;=K$6,TODAY()&lt;L$6)</formula>
    </cfRule>
  </conditionalFormatting>
  <conditionalFormatting sqref="K9:BN9">
    <cfRule type="expression" dxfId="17" priority="3">
      <formula>AND(task_start&lt;=K$6,ROUNDDOWN((task_end-task_start+1)*task_progress,0)+task_start-1&gt;=K$6)</formula>
    </cfRule>
    <cfRule type="expression" dxfId="16" priority="4" stopIfTrue="1">
      <formula>AND(task_end&gt;=K$6,task_start&lt;L$6)</formula>
    </cfRule>
  </conditionalFormatting>
  <conditionalFormatting sqref="D9:D15">
    <cfRule type="dataBar" priority="1">
      <dataBar>
        <cfvo type="num" val="0"/>
        <cfvo type="num" val="1"/>
        <color rgb="FF00B0F0"/>
      </dataBar>
      <extLst>
        <ext xmlns:x14="http://schemas.microsoft.com/office/spreadsheetml/2009/9/main" uri="{B025F937-C7B1-47D3-B67F-A62EFF666E3E}">
          <x14:id>{E4397E5B-AC35-489E-A78A-F8939C1436F0}</x14:id>
        </ext>
      </extLst>
    </cfRule>
  </conditionalFormatting>
  <dataValidations count="1">
    <dataValidation type="whole" operator="greaterThanOrEqual" allowBlank="1" showInputMessage="1" promptTitle="Display Week" prompt="Changing this number will scroll the Gantt Chart view." sqref="F5">
      <formula1>1</formula1>
    </dataValidation>
  </dataValidations>
  <printOptions horizontalCentered="1"/>
  <pageMargins left="0.35" right="0.35" top="0.35" bottom="0.5" header="0.3" footer="0.3"/>
  <pageSetup scale="57" fitToHeight="0" orientation="landscape" r:id="rId1"/>
  <headerFooter differentFirst="1" scaleWithDoc="0"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E06CC6-4649-4035-A23E-45332D1A29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D72:E75 D8:E8</xm:sqref>
        </x14:conditionalFormatting>
        <x14:conditionalFormatting xmlns:xm="http://schemas.microsoft.com/office/excel/2006/main">
          <x14:cfRule type="dataBar" id="{AF31FD12-E77E-4915-8A17-F7FA37278C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D18:E21</xm:sqref>
        </x14:conditionalFormatting>
        <x14:conditionalFormatting xmlns:xm="http://schemas.microsoft.com/office/excel/2006/main">
          <x14:cfRule type="dataBar" id="{7287BFCA-B979-45AB-AA01-C9B3FAD2C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D48:E51</xm:sqref>
        </x14:conditionalFormatting>
        <x14:conditionalFormatting xmlns:xm="http://schemas.microsoft.com/office/excel/2006/main">
          <x14:cfRule type="dataBar" id="{AE44163B-3B2A-44E8-B64B-15AF5B72B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D56:E62</xm:sqref>
        </x14:conditionalFormatting>
        <x14:conditionalFormatting xmlns:xm="http://schemas.microsoft.com/office/excel/2006/main">
          <x14:cfRule type="dataBar" id="{160177E0-5191-4ED6-B8A4-98B197D642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D64:E67</xm:sqref>
        </x14:conditionalFormatting>
        <x14:conditionalFormatting xmlns:xm="http://schemas.microsoft.com/office/excel/2006/main">
          <x14:cfRule type="dataBar" id="{7B03BCA5-43AA-4520-B09F-AAF8F9AB6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D68:E70 D44:E46</xm:sqref>
        </x14:conditionalFormatting>
        <x14:conditionalFormatting xmlns:xm="http://schemas.microsoft.com/office/excel/2006/main">
          <x14:cfRule type="dataBar" id="{956506D9-22AA-49E7-A2E8-13EA6948C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D47:E47</xm:sqref>
        </x14:conditionalFormatting>
        <x14:conditionalFormatting xmlns:xm="http://schemas.microsoft.com/office/excel/2006/main">
          <x14:cfRule type="dataBar" id="{D4B585BB-0AA3-41FA-B103-E287A9E703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D71:E71</xm:sqref>
        </x14:conditionalFormatting>
        <x14:conditionalFormatting xmlns:xm="http://schemas.microsoft.com/office/excel/2006/main">
          <x14:cfRule type="dataBar" id="{3E21A07D-9B1E-429A-8AA0-3C1526A7DA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D63:E63</xm:sqref>
        </x14:conditionalFormatting>
        <x14:conditionalFormatting xmlns:xm="http://schemas.microsoft.com/office/excel/2006/main">
          <x14:cfRule type="dataBar" id="{A74261BE-C8C3-49A3-BCAE-D90143ABC7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D22:E25</xm:sqref>
        </x14:conditionalFormatting>
        <x14:conditionalFormatting xmlns:xm="http://schemas.microsoft.com/office/excel/2006/main">
          <x14:cfRule type="dataBar" id="{A37A28D0-8CFC-4214-B838-996728365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D30:E41</xm:sqref>
        </x14:conditionalFormatting>
        <x14:conditionalFormatting xmlns:xm="http://schemas.microsoft.com/office/excel/2006/main">
          <x14:cfRule type="dataBar" id="{BB0C7F20-3175-4F4F-AEA3-886EB8DF6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D52:E55</xm:sqref>
        </x14:conditionalFormatting>
        <x14:conditionalFormatting xmlns:xm="http://schemas.microsoft.com/office/excel/2006/main">
          <x14:cfRule type="dataBar" id="{523FD3FC-010D-45CA-B90E-23A8000E3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D26:E29</xm:sqref>
        </x14:conditionalFormatting>
        <x14:conditionalFormatting xmlns:xm="http://schemas.microsoft.com/office/excel/2006/main">
          <x14:cfRule type="dataBar" id="{FCB49624-242F-41D7-BF64-3F783885E4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D42:E43</xm:sqref>
        </x14:conditionalFormatting>
        <x14:conditionalFormatting xmlns:xm="http://schemas.microsoft.com/office/excel/2006/main">
          <x14:cfRule type="dataBar" id="{5F24A201-7AA5-46AB-8F7E-084956B7EF98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D16:D17</xm:sqref>
        </x14:conditionalFormatting>
        <x14:conditionalFormatting xmlns:xm="http://schemas.microsoft.com/office/excel/2006/main">
          <x14:cfRule type="dataBar" id="{E4397E5B-AC35-489E-A78A-F8939C1436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D9:D15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ProjectSchedule</vt:lpstr>
      <vt:lpstr>ProjectSchedule!Display_Week</vt:lpstr>
      <vt:lpstr>ProjectSchedule!Print_Titles</vt:lpstr>
      <vt:lpstr>ProjectSchedule!Project_Start</vt:lpstr>
      <vt:lpstr>ProjectSchedule!task_end</vt:lpstr>
      <vt:lpstr>ProjectSchedule!task_progress</vt:lpstr>
      <vt:lpstr>ProjectSchedule!task_start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2019-03-19T17:17:03Z</dcterms:created>
  <dcterms:modified xsi:type="dcterms:W3CDTF">2026-02-02T04:08:29Z</dcterms:modified>
</cp:coreProperties>
</file>